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191h\Desktop\[중1] - 1학기 진도 사항\TextMessage\"/>
    </mc:Choice>
  </mc:AlternateContent>
  <xr:revisionPtr revIDLastSave="0" documentId="13_ncr:1_{6019ECE8-2732-49E9-A3F6-E4600AF152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N2" i="5" s="1"/>
  <c r="C3" i="5"/>
  <c r="N3" i="5" s="1"/>
  <c r="C4" i="5"/>
  <c r="N4" i="5" s="1"/>
  <c r="C5" i="5"/>
  <c r="N5" i="5" s="1"/>
  <c r="C6" i="5"/>
  <c r="N6" i="5" s="1"/>
  <c r="C7" i="5"/>
  <c r="N7" i="5" s="1"/>
  <c r="C8" i="5"/>
  <c r="N8" i="5" s="1"/>
  <c r="C9" i="5"/>
  <c r="N9" i="5" s="1"/>
  <c r="C10" i="5"/>
  <c r="N10" i="5" s="1"/>
  <c r="C11" i="5"/>
  <c r="N11" i="5" s="1"/>
</calcChain>
</file>

<file path=xl/sharedStrings.xml><?xml version="1.0" encoding="utf-8"?>
<sst xmlns="http://schemas.openxmlformats.org/spreadsheetml/2006/main" count="29" uniqueCount="28">
  <si>
    <t>주테
점수</t>
  </si>
  <si>
    <t>비문학</t>
  </si>
  <si>
    <t>문학</t>
  </si>
  <si>
    <t>문법</t>
  </si>
  <si>
    <t>어휘</t>
  </si>
  <si>
    <t>과제</t>
  </si>
  <si>
    <t>수업</t>
  </si>
  <si>
    <t>전달 사항</t>
  </si>
  <si>
    <t>근휘</t>
  </si>
  <si>
    <t>윤수</t>
  </si>
  <si>
    <t>승우</t>
  </si>
  <si>
    <t>준서</t>
  </si>
  <si>
    <t>우철이</t>
  </si>
  <si>
    <t>독서 1~3</t>
  </si>
  <si>
    <t>독서 4~5</t>
  </si>
  <si>
    <t>문항수</t>
    <phoneticPr fontId="3" type="noConversion"/>
  </si>
  <si>
    <t>이름</t>
    <phoneticPr fontId="3" type="noConversion"/>
  </si>
  <si>
    <t>항목</t>
    <phoneticPr fontId="3" type="noConversion"/>
  </si>
  <si>
    <t>최종문자</t>
    <phoneticPr fontId="3" type="noConversion"/>
  </si>
  <si>
    <t>날짜</t>
    <phoneticPr fontId="3" type="noConversion"/>
  </si>
  <si>
    <t>가온이</t>
  </si>
  <si>
    <t>솔한이</t>
  </si>
  <si>
    <t>독서1~3</t>
    <phoneticPr fontId="3" type="noConversion"/>
  </si>
  <si>
    <t>독서4~6</t>
    <phoneticPr fontId="3" type="noConversion"/>
  </si>
  <si>
    <t>문학</t>
    <phoneticPr fontId="3" type="noConversion"/>
  </si>
  <si>
    <t>19번</t>
    <phoneticPr fontId="3" type="noConversion"/>
  </si>
  <si>
    <t>20번</t>
    <phoneticPr fontId="3" type="noConversion"/>
  </si>
  <si>
    <t>문법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</si>
</sst>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6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6"/>
        <bgColor rgb="FFFFE599"/>
      </patternFill>
    </fill>
    <fill>
      <patternFill patternType="solid">
        <fgColor theme="5" tint="0.59999389629810485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E436-B2B5-49B7-AFB8-CC247CCA8E17}">
  <dimension ref="A1:Q11"/>
  <sheetViews>
    <sheetView tabSelected="1" zoomScale="68" workbookViewId="0">
      <selection activeCell="H2" sqref="H2"/>
    </sheetView>
  </sheetViews>
  <sheetFormatPr defaultRowHeight="12.75" x14ac:dyDescent="0.35"/>
  <cols>
    <col min="1" max="1" width="10.33203125" style="3" bestFit="1" customWidth="1"/>
    <col min="2" max="2" width="6.46484375" style="3" bestFit="1" customWidth="1"/>
    <col min="3" max="3" width="8.265625" style="3" bestFit="1" customWidth="1"/>
    <col min="4" max="4" width="9.59765625" style="3" bestFit="1" customWidth="1"/>
    <col min="5" max="5" width="10.1328125" style="3" bestFit="1" customWidth="1"/>
    <col min="6" max="6" width="6.46484375" style="3" bestFit="1" customWidth="1"/>
    <col min="7" max="7" width="13.265625" style="3" bestFit="1" customWidth="1"/>
    <col min="8" max="8" width="12.59765625" style="3" bestFit="1" customWidth="1"/>
    <col min="9" max="9" width="9.19921875" style="3" bestFit="1" customWidth="1"/>
    <col min="10" max="10" width="11.06640625" style="3" bestFit="1" customWidth="1"/>
    <col min="11" max="11" width="23.9296875" style="3" customWidth="1"/>
    <col min="12" max="12" width="19.6640625" style="3" customWidth="1"/>
    <col min="13" max="13" width="33.46484375" style="3" customWidth="1"/>
    <col min="14" max="14" width="39.265625" style="12" customWidth="1"/>
    <col min="15" max="16" width="8.265625" style="3" bestFit="1" customWidth="1"/>
    <col min="17" max="17" width="6.46484375" style="3" bestFit="1" customWidth="1"/>
    <col min="18" max="16384" width="9.06640625" style="3"/>
  </cols>
  <sheetData>
    <row r="1" spans="1:17" ht="15.75" x14ac:dyDescent="0.35">
      <c r="A1" s="5" t="s">
        <v>19</v>
      </c>
      <c r="B1" s="8" t="s">
        <v>16</v>
      </c>
      <c r="C1" s="9" t="s">
        <v>0</v>
      </c>
      <c r="D1" s="8" t="s">
        <v>22</v>
      </c>
      <c r="E1" s="8" t="s">
        <v>23</v>
      </c>
      <c r="F1" s="9" t="s">
        <v>1</v>
      </c>
      <c r="G1" s="8" t="s">
        <v>24</v>
      </c>
      <c r="H1" s="8" t="s">
        <v>27</v>
      </c>
      <c r="I1" s="8" t="s">
        <v>25</v>
      </c>
      <c r="J1" s="8" t="s">
        <v>26</v>
      </c>
      <c r="K1" s="9" t="s">
        <v>5</v>
      </c>
      <c r="L1" s="9" t="s">
        <v>6</v>
      </c>
      <c r="M1" s="9" t="s">
        <v>7</v>
      </c>
      <c r="N1" s="13" t="s">
        <v>18</v>
      </c>
      <c r="P1" s="5" t="s">
        <v>17</v>
      </c>
      <c r="Q1" s="5" t="s">
        <v>15</v>
      </c>
    </row>
    <row r="2" spans="1:17" ht="114.75" x14ac:dyDescent="0.35">
      <c r="A2" s="4">
        <v>46171</v>
      </c>
      <c r="B2" s="1" t="s">
        <v>20</v>
      </c>
      <c r="C2" s="6">
        <f t="shared" ref="C2:C8" si="0">100-N(D2)*5-N(E2)*4-N(F2)*4-IF(G2="",0,(LEN(SUBSTITUTE(G2," ",""))-LEN(SUBSTITUTE(SUBSTITUTE(G2," ",""),",",""))+1)*4)-IF(H2="",0,(LEN(SUBSTITUTE(H2," ",""))-LEN(SUBSTITUTE(SUBSTITUTE(H2," ",""),",",""))+1)*4)-IF(I2="",0,5)-N(J2)*2</f>
        <v>100</v>
      </c>
      <c r="D2" s="14"/>
      <c r="E2" s="15"/>
      <c r="F2" s="16"/>
      <c r="G2" s="17"/>
      <c r="H2" s="17"/>
      <c r="I2" s="18"/>
      <c r="J2" s="15"/>
      <c r="K2" s="7"/>
      <c r="L2" s="7"/>
      <c r="M2" s="7"/>
      <c r="N2" s="11" t="str">
        <f t="shared" ref="N2:N8" si="1">"▷ "&amp;B2&amp;"는 이번 주간 테스트에서 "&amp;C2&amp;"점을 받았습니다."&amp;CHAR(10)&amp;
IF(C2=100,"",
"- 독서 : "&amp;(5-N(D2)-N(E2))&amp;"/5"&amp;CHAR(10)&amp;
"- 비문학 : "&amp;(4-N(F2))&amp;"/4"&amp;CHAR(10)&amp;
"- 문학 : "&amp;(5-IF(G2="",0,LEN(SUBSTITUTE(G2," ",""))-LEN(SUBSTITUTE(SUBSTITUTE(G2," ",""),",",""))+1))&amp;"/5"&amp;CHAR(10)&amp;
"- 문법 : "&amp;(4-IF(H2="",0,LEN(SUBSTITUTE(H2," ",""))-LEN(SUBSTITUTE(SUBSTITUTE(H2," ",""),",",""))+1))&amp;"/4"&amp;CHAR(10)&amp;
"- 어휘 : "&amp;(11-IF(I2="",0,1)-N(J2))&amp;"/11"&amp;CHAR(10)
)&amp;
IF(AND(K2="",L2=""),
CHAR(10)&amp;"▷ 과 제 : 우수"&amp;CHAR(10)&amp;CHAR(10)&amp;"▷ 수 업 : 우수"&amp;CHAR(10)&amp;CHAR(10)&amp;"※ 과제와 수업에 특이사항이 있으면 전달 드리겠습니다.",
IF(AND(K2&lt;&gt;"",L2=""),
CHAR(10)&amp;"▷ 과 제"&amp;CHAR(10)&amp;"- "&amp;K2&amp;CHAR(10)&amp;CHAR(10)&amp;"▷ 수 업 : 우수",
IF(AND(K2="",L2&lt;&gt;""),
CHAR(10)&amp;"▷ 과 제 : 우수"&amp;CHAR(10)&amp;CHAR(10)&amp;"▷ 수 업"&amp;CHAR(10)&amp;"- "&amp;L2,
CHAR(10)&amp;"▷ 과 제"&amp;CHAR(10)&amp;"- "&amp;K2&amp;CHAR(10)&amp;CHAR(10)&amp;"▷ 수 업"&amp;CHAR(10)&amp;"- "&amp;L2
)))&amp;
IF(M2&lt;&gt;"",CHAR(10)&amp;CHAR(10)&amp;"※ "&amp;M2,"")</f>
        <v>▷ 가온이는 이번 주간 테스트에서 100점을 받았습니다.
▷ 과 제 : 우수
▷ 수 업 : 우수
※ 과제와 수업에 특이사항이 있으면 전달 드리겠습니다.</v>
      </c>
      <c r="P2" s="10" t="s">
        <v>13</v>
      </c>
      <c r="Q2" s="10">
        <v>3</v>
      </c>
    </row>
    <row r="3" spans="1:17" ht="114.75" x14ac:dyDescent="0.35">
      <c r="B3" s="1" t="s">
        <v>8</v>
      </c>
      <c r="C3" s="6">
        <f t="shared" si="0"/>
        <v>100</v>
      </c>
      <c r="D3" s="14"/>
      <c r="E3" s="15"/>
      <c r="F3" s="16"/>
      <c r="G3" s="17"/>
      <c r="H3" s="17"/>
      <c r="I3" s="18"/>
      <c r="J3" s="15"/>
      <c r="K3" s="7"/>
      <c r="L3" s="7"/>
      <c r="M3" s="7"/>
      <c r="N3" s="11" t="str">
        <f t="shared" si="1"/>
        <v>▷ 근휘는 이번 주간 테스트에서 100점을 받았습니다.
▷ 과 제 : 우수
▷ 수 업 : 우수
※ 과제와 수업에 특이사항이 있으면 전달 드리겠습니다.</v>
      </c>
      <c r="P3" s="10" t="s">
        <v>14</v>
      </c>
      <c r="Q3" s="10">
        <v>3</v>
      </c>
    </row>
    <row r="4" spans="1:17" ht="114.75" x14ac:dyDescent="0.35">
      <c r="B4" s="1" t="s">
        <v>9</v>
      </c>
      <c r="C4" s="6">
        <f t="shared" si="0"/>
        <v>100</v>
      </c>
      <c r="D4" s="14"/>
      <c r="E4" s="15"/>
      <c r="F4" s="16"/>
      <c r="G4" s="17"/>
      <c r="H4" s="17"/>
      <c r="I4" s="18"/>
      <c r="J4" s="15"/>
      <c r="K4" s="7"/>
      <c r="L4" s="7"/>
      <c r="M4" s="7"/>
      <c r="N4" s="11" t="str">
        <f t="shared" si="1"/>
        <v>▷ 윤수는 이번 주간 테스트에서 100점을 받았습니다.
▷ 과 제 : 우수
▷ 수 업 : 우수
※ 과제와 수업에 특이사항이 있으면 전달 드리겠습니다.</v>
      </c>
      <c r="P4" s="10" t="s">
        <v>1</v>
      </c>
      <c r="Q4" s="10">
        <v>3</v>
      </c>
    </row>
    <row r="5" spans="1:17" ht="114.75" x14ac:dyDescent="0.35">
      <c r="B5" s="1" t="s">
        <v>10</v>
      </c>
      <c r="C5" s="6">
        <f t="shared" si="0"/>
        <v>100</v>
      </c>
      <c r="D5" s="14"/>
      <c r="E5" s="15"/>
      <c r="F5" s="16"/>
      <c r="G5" s="17"/>
      <c r="H5" s="17"/>
      <c r="I5" s="18"/>
      <c r="J5" s="15"/>
      <c r="K5" s="7"/>
      <c r="L5" s="7"/>
      <c r="M5" s="7"/>
      <c r="N5" s="11" t="str">
        <f t="shared" si="1"/>
        <v>▷ 승우는 이번 주간 테스트에서 100점을 받았습니다.
▷ 과 제 : 우수
▷ 수 업 : 우수
※ 과제와 수업에 특이사항이 있으면 전달 드리겠습니다.</v>
      </c>
      <c r="P5" s="10" t="s">
        <v>2</v>
      </c>
      <c r="Q5" s="10">
        <v>5</v>
      </c>
    </row>
    <row r="6" spans="1:17" ht="114.75" x14ac:dyDescent="0.35">
      <c r="B6" s="1" t="s">
        <v>11</v>
      </c>
      <c r="C6" s="6">
        <f t="shared" si="0"/>
        <v>100</v>
      </c>
      <c r="D6" s="14"/>
      <c r="E6" s="15"/>
      <c r="F6" s="16"/>
      <c r="G6" s="17"/>
      <c r="H6" s="17"/>
      <c r="I6" s="18"/>
      <c r="J6" s="15"/>
      <c r="K6" s="7"/>
      <c r="L6" s="7"/>
      <c r="M6" s="7"/>
      <c r="N6" s="11" t="str">
        <f t="shared" si="1"/>
        <v>▷ 준서는 이번 주간 테스트에서 100점을 받았습니다.
▷ 과 제 : 우수
▷ 수 업 : 우수
※ 과제와 수업에 특이사항이 있으면 전달 드리겠습니다.</v>
      </c>
      <c r="P6" s="10" t="s">
        <v>3</v>
      </c>
      <c r="Q6" s="10">
        <v>4</v>
      </c>
    </row>
    <row r="7" spans="1:17" ht="114.75" x14ac:dyDescent="0.35">
      <c r="B7" s="1" t="s">
        <v>12</v>
      </c>
      <c r="C7" s="6">
        <f t="shared" si="0"/>
        <v>100</v>
      </c>
      <c r="D7" s="14"/>
      <c r="E7" s="15"/>
      <c r="F7" s="16"/>
      <c r="G7" s="17"/>
      <c r="H7" s="17"/>
      <c r="I7" s="18"/>
      <c r="J7" s="15"/>
      <c r="K7" s="7"/>
      <c r="L7" s="7"/>
      <c r="M7" s="7"/>
      <c r="N7" s="11" t="str">
        <f t="shared" si="1"/>
        <v>▷ 우철이는 이번 주간 테스트에서 100점을 받았습니다.
▷ 과 제 : 우수
▷ 수 업 : 우수
※ 과제와 수업에 특이사항이 있으면 전달 드리겠습니다.</v>
      </c>
      <c r="P7" s="10" t="s">
        <v>4</v>
      </c>
      <c r="Q7" s="10">
        <v>11</v>
      </c>
    </row>
    <row r="8" spans="1:17" ht="114.75" x14ac:dyDescent="0.35">
      <c r="B8" s="1" t="s">
        <v>21</v>
      </c>
      <c r="C8" s="6">
        <f t="shared" si="0"/>
        <v>100</v>
      </c>
      <c r="D8" s="14"/>
      <c r="E8" s="15"/>
      <c r="F8" s="16"/>
      <c r="G8" s="17"/>
      <c r="H8" s="17"/>
      <c r="I8" s="18"/>
      <c r="J8" s="15"/>
      <c r="K8" s="7"/>
      <c r="L8" s="7"/>
      <c r="M8" s="7"/>
      <c r="N8" s="11" t="str">
        <f t="shared" si="1"/>
        <v>▷ 솔한이는 이번 주간 테스트에서 100점을 받았습니다.
▷ 과 제 : 우수
▷ 수 업 : 우수
※ 과제와 수업에 특이사항이 있으면 전달 드리겠습니다.</v>
      </c>
    </row>
    <row r="9" spans="1:17" ht="114.75" x14ac:dyDescent="0.35">
      <c r="B9" s="2"/>
      <c r="C9" s="6">
        <f t="shared" ref="C9:C11" si="2">100-N(D9)*5-N(E9)*4-N(F9)*4-IF(G9="",0,(LEN(SUBSTITUTE(G9," ",""))-LEN(SUBSTITUTE(SUBSTITUTE(G9," ",""),",",""))+1)*4)-IF(H9="",0,(LEN(SUBSTITUTE(H9," ",""))-LEN(SUBSTITUTE(SUBSTITUTE(H9," ",""),",",""))+1)*4)-IF(I9="",0,5)-N(J9)*2</f>
        <v>100</v>
      </c>
      <c r="D9" s="14"/>
      <c r="E9" s="15"/>
      <c r="F9" s="16"/>
      <c r="G9" s="17"/>
      <c r="H9" s="17"/>
      <c r="I9" s="18"/>
      <c r="J9" s="15"/>
      <c r="K9" s="7"/>
      <c r="L9" s="7"/>
      <c r="M9" s="7"/>
      <c r="N9" s="11" t="str">
        <f t="shared" ref="N9:N11" si="3">"▷ "&amp;B9&amp;"는 이번 주간 테스트에서 "&amp;C9&amp;"점을 받았습니다."&amp;CHAR(10)&amp;
IF(C9=100,"",
"- 독서 : "&amp;(5-N(D9)-N(E9))&amp;"/5"&amp;CHAR(10)&amp;
"- 비문학 : "&amp;(4-N(F9))&amp;"/4"&amp;CHAR(10)&amp;
"- 문학 : "&amp;(5-IF(G9="",0,LEN(SUBSTITUTE(G9," ",""))-LEN(SUBSTITUTE(SUBSTITUTE(G9," ",""),",",""))+1))&amp;"/5"&amp;CHAR(10)&amp;
"- 문법 : "&amp;(4-IF(H9="",0,LEN(SUBSTITUTE(H9," ",""))-LEN(SUBSTITUTE(SUBSTITUTE(H9," ",""),",",""))+1))&amp;"/4"&amp;CHAR(10)&amp;
"- 어휘 : "&amp;(11-IF(I9="",0,1)-N(J9))&amp;"/11"&amp;CHAR(10)
)&amp;
IF(AND(K9="",L9=""),
CHAR(10)&amp;"▷ 과 제 : 우수"&amp;CHAR(10)&amp;CHAR(10)&amp;"▷ 수 업 : 우수"&amp;CHAR(10)&amp;CHAR(10)&amp;"※ 과제와 수업에 특이사항이 있으면 전달 드리겠습니다.",
IF(AND(K9&lt;&gt;"",L9=""),
CHAR(10)&amp;"▷ 과 제"&amp;CHAR(10)&amp;"- "&amp;K9&amp;CHAR(10)&amp;CHAR(10)&amp;"▷ 수 업 : 우수",
IF(AND(K9="",L9&lt;&gt;""),
CHAR(10)&amp;"▷ 과 제 : 우수"&amp;CHAR(10)&amp;CHAR(10)&amp;"▷ 수 업"&amp;CHAR(10)&amp;"- "&amp;L9,
CHAR(10)&amp;"▷ 과 제"&amp;CHAR(10)&amp;"- "&amp;K9&amp;CHAR(10)&amp;CHAR(10)&amp;"▷ 수 업"&amp;CHAR(10)&amp;"- "&amp;L9
)))&amp;
IF(M9&lt;&gt;"",CHAR(10)&amp;CHAR(10)&amp;"※ "&amp;M9,"")</f>
        <v>▷ 는 이번 주간 테스트에서 100점을 받았습니다.
▷ 과 제 : 우수
▷ 수 업 : 우수
※ 과제와 수업에 특이사항이 있으면 전달 드리겠습니다.</v>
      </c>
    </row>
    <row r="10" spans="1:17" ht="114.75" x14ac:dyDescent="0.35">
      <c r="B10" s="2"/>
      <c r="C10" s="6">
        <f t="shared" si="2"/>
        <v>100</v>
      </c>
      <c r="D10" s="14"/>
      <c r="E10" s="15"/>
      <c r="F10" s="16"/>
      <c r="G10" s="17"/>
      <c r="H10" s="17"/>
      <c r="I10" s="18"/>
      <c r="J10" s="15"/>
      <c r="K10" s="7"/>
      <c r="L10" s="7"/>
      <c r="M10" s="7"/>
      <c r="N10" s="11" t="str">
        <f t="shared" si="3"/>
        <v>▷ 는 이번 주간 테스트에서 100점을 받았습니다.
▷ 과 제 : 우수
▷ 수 업 : 우수
※ 과제와 수업에 특이사항이 있으면 전달 드리겠습니다.</v>
      </c>
    </row>
    <row r="11" spans="1:17" ht="114.75" x14ac:dyDescent="0.35">
      <c r="B11" s="2"/>
      <c r="C11" s="6">
        <f t="shared" si="2"/>
        <v>100</v>
      </c>
      <c r="D11" s="14"/>
      <c r="E11" s="15"/>
      <c r="F11" s="16"/>
      <c r="G11" s="17"/>
      <c r="H11" s="17"/>
      <c r="I11" s="18"/>
      <c r="J11" s="15"/>
      <c r="K11" s="7"/>
      <c r="L11" s="7"/>
      <c r="M11" s="7"/>
      <c r="N11" s="11" t="str">
        <f t="shared" si="3"/>
        <v>▷ 는 이번 주간 테스트에서 100점을 받았습니다.
▷ 과 제 : 우수
▷ 수 업 : 우수
※ 과제와 수업에 특이사항이 있으면 전달 드리겠습니다.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Hong</cp:lastModifiedBy>
  <dcterms:modified xsi:type="dcterms:W3CDTF">2026-06-05T04:58:40Z</dcterms:modified>
</cp:coreProperties>
</file>