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9191h\Desktop\[중1] - 1학기 진도 사항\weekly_message\"/>
    </mc:Choice>
  </mc:AlternateContent>
  <xr:revisionPtr revIDLastSave="0" documentId="13_ncr:1_{CC1E2E4C-BA9B-47C9-87C7-B9B53F10D082}" xr6:coauthVersionLast="47" xr6:coauthVersionMax="47" xr10:uidLastSave="{00000000-0000-0000-0000-000000000000}"/>
  <bookViews>
    <workbookView xWindow="2685" yWindow="1163" windowWidth="14872" windowHeight="9307" xr2:uid="{00000000-000D-0000-FFFF-FFFF00000000}"/>
  </bookViews>
  <sheets>
    <sheet name="Sheet1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5" l="1"/>
  <c r="N3" i="5"/>
  <c r="N4" i="5"/>
  <c r="N5" i="5"/>
  <c r="N6" i="5"/>
  <c r="N7" i="5"/>
  <c r="N8" i="5"/>
  <c r="N9" i="5"/>
  <c r="N10" i="5"/>
  <c r="N2" i="5"/>
  <c r="C11" i="5"/>
  <c r="C3" i="5"/>
  <c r="C4" i="5"/>
  <c r="C5" i="5"/>
  <c r="C6" i="5"/>
  <c r="C7" i="5"/>
  <c r="C8" i="5"/>
  <c r="C9" i="5"/>
  <c r="C10" i="5"/>
  <c r="C2" i="5"/>
</calcChain>
</file>

<file path=xl/sharedStrings.xml><?xml version="1.0" encoding="utf-8"?>
<sst xmlns="http://schemas.openxmlformats.org/spreadsheetml/2006/main" count="41" uniqueCount="32">
  <si>
    <t>규리</t>
  </si>
  <si>
    <t>시윤이</t>
  </si>
  <si>
    <t>주테
점수</t>
  </si>
  <si>
    <t>비문학</t>
  </si>
  <si>
    <t>수업</t>
  </si>
  <si>
    <t>전달 사항</t>
  </si>
  <si>
    <t>차형이</t>
  </si>
  <si>
    <t>세홍이</t>
  </si>
  <si>
    <t>승준이</t>
  </si>
  <si>
    <t>다감이</t>
  </si>
  <si>
    <t>다인이</t>
  </si>
  <si>
    <t>민규</t>
  </si>
  <si>
    <t>이름</t>
    <phoneticPr fontId="3" type="noConversion"/>
  </si>
  <si>
    <t>최종문자</t>
    <phoneticPr fontId="3" type="noConversion"/>
  </si>
  <si>
    <t>날짜</t>
    <phoneticPr fontId="3" type="noConversion"/>
  </si>
  <si>
    <t>하담이</t>
  </si>
  <si>
    <t>독서1~3</t>
    <phoneticPr fontId="3" type="noConversion"/>
  </si>
  <si>
    <t>독서4~6</t>
    <phoneticPr fontId="3" type="noConversion"/>
  </si>
  <si>
    <t>문학</t>
    <phoneticPr fontId="3" type="noConversion"/>
  </si>
  <si>
    <t>19번</t>
    <phoneticPr fontId="3" type="noConversion"/>
  </si>
  <si>
    <t>20번</t>
    <phoneticPr fontId="3" type="noConversion"/>
  </si>
  <si>
    <t>문법</t>
    <phoneticPr fontId="3" type="noConversion"/>
  </si>
  <si>
    <t>과제 곳곳에 풀지 않고 빈칸으로 둔 문제들이 보였습니다. 반드시 과제를 꼼꼼하게 할 수 있도록 가정에서 지도 부탁드립니다!</t>
    <phoneticPr fontId="3" type="noConversion"/>
  </si>
  <si>
    <t>10, 13</t>
    <phoneticPr fontId="3" type="noConversion"/>
  </si>
  <si>
    <t>15, 17, 18</t>
    <phoneticPr fontId="3" type="noConversion"/>
  </si>
  <si>
    <t>15, 18</t>
    <phoneticPr fontId="3" type="noConversion"/>
  </si>
  <si>
    <t>17, 18</t>
    <phoneticPr fontId="3" type="noConversion"/>
  </si>
  <si>
    <t>10, 11, 13</t>
    <phoneticPr fontId="3" type="noConversion"/>
  </si>
  <si>
    <t>승우</t>
    <phoneticPr fontId="3" type="noConversion"/>
  </si>
  <si>
    <t>승우는 과제를 거의 하지 않고 등원을 했습니다. 등원 전에 과제를 모두 할 수 있도록 지도 부탁드리겠습니다!</t>
    <phoneticPr fontId="3" type="noConversion"/>
  </si>
  <si>
    <t>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t>
    <phoneticPr fontId="3" type="noConversion"/>
  </si>
  <si>
    <t>과제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</si>
</sst>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8"/>
      <name val="Arial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10"/>
      <color rgb="FF000000"/>
      <name val="Arial"/>
      <family val="2"/>
      <scheme val="minor"/>
    </font>
    <font>
      <sz val="10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0"/>
      <color theme="1"/>
      <name val="맑은 고딕"/>
      <family val="2"/>
      <charset val="129"/>
    </font>
    <font>
      <sz val="10"/>
      <color rgb="FF000000"/>
      <name val="맑은 고딕"/>
      <family val="2"/>
      <charset val="129"/>
    </font>
  </fonts>
  <fills count="1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theme="6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/>
        <bgColor rgb="FFFFE599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2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rgb="FFFFF2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rgb="FFFFF2C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top"/>
    </xf>
    <xf numFmtId="0" fontId="0" fillId="0" borderId="1" xfId="0" applyBorder="1" applyAlignment="1">
      <alignment horizontal="left"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14" fontId="5" fillId="0" borderId="0" xfId="0" applyNumberFormat="1" applyFont="1" applyAlignment="1">
      <alignment horizontal="center" vertical="top"/>
    </xf>
    <xf numFmtId="0" fontId="8" fillId="13" borderId="1" xfId="0" applyFont="1" applyFill="1" applyBorder="1" applyAlignment="1">
      <alignment horizontal="center" vertical="top" wrapText="1"/>
    </xf>
    <xf numFmtId="0" fontId="8" fillId="13" borderId="1" xfId="0" applyFont="1" applyFill="1" applyBorder="1" applyAlignment="1">
      <alignment horizontal="center" vertical="top"/>
    </xf>
    <xf numFmtId="0" fontId="8" fillId="13" borderId="1" xfId="0" applyFont="1" applyFill="1" applyBorder="1" applyAlignment="1">
      <alignment horizontal="left" vertical="top" wrapText="1"/>
    </xf>
    <xf numFmtId="0" fontId="0" fillId="0" borderId="0" xfId="0" applyAlignment="1">
      <alignment horizontal="center" vertical="top"/>
    </xf>
    <xf numFmtId="0" fontId="1" fillId="13" borderId="1" xfId="0" applyFont="1" applyFill="1" applyBorder="1" applyAlignment="1">
      <alignment horizontal="center" vertical="top" wrapText="1"/>
    </xf>
    <xf numFmtId="0" fontId="1" fillId="13" borderId="1" xfId="0" applyFont="1" applyFill="1" applyBorder="1" applyAlignment="1">
      <alignment horizontal="center" vertical="top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6" fillId="0" borderId="1" xfId="0" applyFont="1" applyBorder="1" applyAlignment="1">
      <alignment horizontal="center"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0" fontId="4" fillId="6" borderId="1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2E436-B2B5-49B7-AFB8-CC247CCA8E17}">
  <dimension ref="A1:Q37"/>
  <sheetViews>
    <sheetView tabSelected="1" topLeftCell="F1" workbookViewId="0">
      <pane ySplit="1" topLeftCell="A2" activePane="bottomLeft" state="frozen"/>
      <selection pane="bottomLeft" activeCell="K2" sqref="K2"/>
    </sheetView>
  </sheetViews>
  <sheetFormatPr defaultRowHeight="12.75" x14ac:dyDescent="0.35"/>
  <cols>
    <col min="1" max="1" width="10.33203125" style="3" bestFit="1" customWidth="1"/>
    <col min="2" max="2" width="6.46484375" style="3" bestFit="1" customWidth="1"/>
    <col min="3" max="3" width="8.265625" style="3" bestFit="1" customWidth="1"/>
    <col min="4" max="4" width="9.59765625" style="3" bestFit="1" customWidth="1"/>
    <col min="5" max="5" width="10.1328125" style="3" bestFit="1" customWidth="1"/>
    <col min="6" max="6" width="6.46484375" style="3" bestFit="1" customWidth="1"/>
    <col min="7" max="7" width="13.265625" style="3" bestFit="1" customWidth="1"/>
    <col min="8" max="8" width="12.59765625" style="3" bestFit="1" customWidth="1"/>
    <col min="9" max="9" width="9.19921875" style="3" bestFit="1" customWidth="1"/>
    <col min="10" max="10" width="11.06640625" style="3" bestFit="1" customWidth="1"/>
    <col min="11" max="11" width="18.33203125" style="37" customWidth="1"/>
    <col min="12" max="12" width="14.73046875" style="30" customWidth="1"/>
    <col min="13" max="13" width="40.06640625" style="37" customWidth="1"/>
    <col min="14" max="14" width="39.265625" style="25" customWidth="1"/>
    <col min="15" max="15" width="8.265625" style="3" bestFit="1" customWidth="1"/>
    <col min="16" max="16" width="8.265625" bestFit="1" customWidth="1"/>
    <col min="17" max="17" width="6.46484375" bestFit="1" customWidth="1"/>
    <col min="18" max="16384" width="9.06640625" style="3"/>
  </cols>
  <sheetData>
    <row r="1" spans="1:17" ht="15.75" x14ac:dyDescent="0.35">
      <c r="A1" s="4" t="s">
        <v>14</v>
      </c>
      <c r="B1" s="8" t="s">
        <v>12</v>
      </c>
      <c r="C1" s="9" t="s">
        <v>2</v>
      </c>
      <c r="D1" s="8" t="s">
        <v>16</v>
      </c>
      <c r="E1" s="8" t="s">
        <v>17</v>
      </c>
      <c r="F1" s="9" t="s">
        <v>3</v>
      </c>
      <c r="G1" s="8" t="s">
        <v>18</v>
      </c>
      <c r="H1" s="8" t="s">
        <v>21</v>
      </c>
      <c r="I1" s="8" t="s">
        <v>19</v>
      </c>
      <c r="J1" s="8" t="s">
        <v>20</v>
      </c>
      <c r="K1" s="38" t="s">
        <v>31</v>
      </c>
      <c r="L1" s="9" t="s">
        <v>4</v>
      </c>
      <c r="M1" s="21" t="s">
        <v>5</v>
      </c>
      <c r="N1" s="22" t="s">
        <v>13</v>
      </c>
    </row>
    <row r="2" spans="1:17" s="30" customFormat="1" ht="344.25" x14ac:dyDescent="0.35">
      <c r="A2" s="26">
        <v>46171</v>
      </c>
      <c r="B2" s="1" t="s">
        <v>0</v>
      </c>
      <c r="C2" s="5">
        <f>100-N(D2)*5-N(E2)*4-N(F2)*4-IF(G2="",0,(LEN(SUBSTITUTE(G2," ",""))-LEN(SUBSTITUTE(SUBSTITUTE(G2," ",""),",",""))+1)*4)-IF(H2="",0,(LEN(SUBSTITUTE(H2," ",""))-LEN(SUBSTITUTE(SUBSTITUTE(H2," ",""),",",""))+1)*4)-IF(I2="",0,5)-N(J2)*2</f>
        <v>70</v>
      </c>
      <c r="D2" s="6">
        <v>2</v>
      </c>
      <c r="E2" s="5"/>
      <c r="F2" s="12"/>
      <c r="G2" s="13" t="s">
        <v>23</v>
      </c>
      <c r="H2" s="18" t="s">
        <v>24</v>
      </c>
      <c r="I2" s="15"/>
      <c r="J2" s="5"/>
      <c r="K2" s="27" t="s">
        <v>22</v>
      </c>
      <c r="L2" s="28"/>
      <c r="M2" s="29" t="s">
        <v>30</v>
      </c>
      <c r="N2" s="23" t="str">
        <f>"▷ "&amp;B2&amp;"는 이번 주간 테스트에서 "&amp;C2&amp;"점을 받았습니다."&amp;CHAR(10)&amp;CHAR(10)&amp;
IF(C2=100,"",
"- 독서 : "&amp;(5-N(D2)-N(E2))&amp;"/5"&amp;CHAR(10)&amp;
"- 비문학 : "&amp;(4-N(F2))&amp;"/4"&amp;CHAR(10)&amp;
"- 문학 : "&amp;(5-IF(G2="",0,LEN(SUBSTITUTE(G2," ",""))-LEN(SUBSTITUTE(SUBSTITUTE(G2," ",""),",",""))+1))&amp;"/5"&amp;CHAR(10)&amp;
"- 문법 : "&amp;(4-IF(H2="",0,LEN(SUBSTITUTE(H2," ",""))-LEN(SUBSTITUTE(SUBSTITUTE(H2," ",""),",",""))+1))&amp;"/4"&amp;CHAR(10)&amp;
"- 어휘 : "&amp;(11-IF(I2="",0,1)-N(J2))&amp;"/11"&amp;CHAR(10)
)&amp;
IF(AND(K2="",L2=""),
CHAR(10)&amp;"▷ 과 제 : 우수"&amp;CHAR(10)&amp;CHAR(10)&amp;"▷ 수 업 : 우수"&amp;CHAR(10)&amp;CHAR(10)&amp;"※ 과제와 수업에 특이사항이 있으면 전달 드리겠습니다.",
IF(AND(K2&lt;&gt;"",L2=""),
CHAR(10)&amp;"▷ 과 제"&amp;CHAR(10)&amp;"- "&amp;K2&amp;CHAR(10)&amp;CHAR(10)&amp;"▷ 수 업 : 우수",
IF(AND(K2="",L2&lt;&gt;""),
CHAR(10)&amp;"▷ 과 제 : 우수"&amp;CHAR(10)&amp;CHAR(10)&amp;"▷ 수 업"&amp;CHAR(10)&amp;"- "&amp;L2,
CHAR(10)&amp;"▷ 과 제"&amp;CHAR(10)&amp;"- "&amp;K2&amp;CHAR(10)&amp;CHAR(10)&amp;"▷ 수 업"&amp;CHAR(10)&amp;"- "&amp;L2
)))&amp;
IF(M2&lt;&gt;"",CHAR(10)&amp;CHAR(10)&amp;"※ "&amp;M2,"")</f>
        <v>▷ 규리는 이번 주간 테스트에서 70점을 받았습니다.
- 독서 : 3/5
- 비문학 : 4/4
- 문학 : 3/5
- 문법 : 1/4
- 어휘 : 11/11
▷ 과 제
- 과제 곳곳에 풀지 않고 빈칸으로 둔 문제들이 보였습니다. 반드시 과제를 꼼꼼하게 할 수 있도록 가정에서 지도 부탁드립니다!
▷ 수 업 : 우수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  <c r="P2" s="24"/>
      <c r="Q2" s="24"/>
    </row>
    <row r="3" spans="1:17" ht="280.5" x14ac:dyDescent="0.35">
      <c r="B3" s="1" t="s">
        <v>1</v>
      </c>
      <c r="C3" s="5">
        <f t="shared" ref="C3:C10" si="0">100-N(D3)*5-N(E3)*4-N(F3)*4-IF(G3="",0,(LEN(SUBSTITUTE(G3," ",""))-LEN(SUBSTITUTE(SUBSTITUTE(G3," ",""),",",""))+1)*4)-IF(H3="",0,(LEN(SUBSTITUTE(H3," ",""))-LEN(SUBSTITUTE(SUBSTITUTE(H3," ",""),",",""))+1)*4)-IF(I3="",0,5)-N(J3)*2</f>
        <v>100</v>
      </c>
      <c r="D3" s="6"/>
      <c r="E3" s="5"/>
      <c r="F3" s="12"/>
      <c r="G3" s="13"/>
      <c r="H3" s="18"/>
      <c r="I3" s="15"/>
      <c r="J3" s="5"/>
      <c r="K3" s="31"/>
      <c r="L3" s="32"/>
      <c r="M3" s="29" t="s">
        <v>30</v>
      </c>
      <c r="N3" s="23" t="str">
        <f t="shared" ref="N3:N10" si="1">"▷ "&amp;B3&amp;"는 이번 주간 테스트에서 "&amp;C3&amp;"점을 받았습니다."&amp;CHAR(10)&amp;CHAR(10)&amp;
IF(C3=100,"",
"- 독서 : "&amp;(5-N(D3)-N(E3))&amp;"/5"&amp;CHAR(10)&amp;
"- 비문학 : "&amp;(4-N(F3))&amp;"/4"&amp;CHAR(10)&amp;
"- 문학 : "&amp;(5-IF(G3="",0,LEN(SUBSTITUTE(G3," ",""))-LEN(SUBSTITUTE(SUBSTITUTE(G3," ",""),",",""))+1))&amp;"/5"&amp;CHAR(10)&amp;
"- 문법 : "&amp;(4-IF(H3="",0,LEN(SUBSTITUTE(H3," ",""))-LEN(SUBSTITUTE(SUBSTITUTE(H3," ",""),",",""))+1))&amp;"/4"&amp;CHAR(10)&amp;
"- 어휘 : "&amp;(11-IF(I3="",0,1)-N(J3))&amp;"/11"&amp;CHAR(10)
)&amp;
IF(AND(K3="",L3=""),
CHAR(10)&amp;"▷ 과 제 : 우수"&amp;CHAR(10)&amp;CHAR(10)&amp;"▷ 수 업 : 우수"&amp;CHAR(10)&amp;CHAR(10)&amp;"※ 과제와 수업에 특이사항이 있으면 전달 드리겠습니다.",
IF(AND(K3&lt;&gt;"",L3=""),
CHAR(10)&amp;"▷ 과 제"&amp;CHAR(10)&amp;"- "&amp;K3&amp;CHAR(10)&amp;CHAR(10)&amp;"▷ 수 업 : 우수",
IF(AND(K3="",L3&lt;&gt;""),
CHAR(10)&amp;"▷ 과 제 : 우수"&amp;CHAR(10)&amp;CHAR(10)&amp;"▷ 수 업"&amp;CHAR(10)&amp;"- "&amp;L3,
CHAR(10)&amp;"▷ 과 제"&amp;CHAR(10)&amp;"- "&amp;K3&amp;CHAR(10)&amp;CHAR(10)&amp;"▷ 수 업"&amp;CHAR(10)&amp;"- "&amp;L3
)))&amp;
IF(M3&lt;&gt;"",CHAR(10)&amp;CHAR(10)&amp;"※ "&amp;M3,"")</f>
        <v>▷ 시윤이는 이번 주간 테스트에서 100점을 받았습니다.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4" spans="1:17" ht="280.5" x14ac:dyDescent="0.35">
      <c r="B4" s="1" t="s">
        <v>6</v>
      </c>
      <c r="C4" s="5">
        <f t="shared" si="0"/>
        <v>100</v>
      </c>
      <c r="D4" s="10"/>
      <c r="E4" s="7"/>
      <c r="F4" s="11"/>
      <c r="G4" s="14"/>
      <c r="H4" s="19"/>
      <c r="I4" s="16"/>
      <c r="J4" s="7"/>
      <c r="K4" s="33"/>
      <c r="L4" s="34"/>
      <c r="M4" s="29" t="s">
        <v>30</v>
      </c>
      <c r="N4" s="23" t="str">
        <f t="shared" si="1"/>
        <v>▷ 차형이는 이번 주간 테스트에서 100점을 받았습니다.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5" spans="1:17" ht="344.25" x14ac:dyDescent="0.35">
      <c r="B5" s="1" t="s">
        <v>7</v>
      </c>
      <c r="C5" s="5">
        <f t="shared" si="0"/>
        <v>92</v>
      </c>
      <c r="D5" s="10"/>
      <c r="E5" s="7"/>
      <c r="F5" s="11"/>
      <c r="G5" s="14"/>
      <c r="H5" s="19" t="s">
        <v>25</v>
      </c>
      <c r="I5" s="16"/>
      <c r="J5" s="7"/>
      <c r="K5" s="33"/>
      <c r="L5" s="34"/>
      <c r="M5" s="29" t="s">
        <v>30</v>
      </c>
      <c r="N5" s="23" t="str">
        <f t="shared" si="1"/>
        <v>▷ 세홍이는 이번 주간 테스트에서 92점을 받았습니다.
- 독서 : 5/5
- 비문학 : 4/4
- 문학 : 5/5
- 문법 : 2/4
- 어휘 : 11/11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6" spans="1:17" ht="344.25" x14ac:dyDescent="0.35">
      <c r="B6" s="1" t="s">
        <v>15</v>
      </c>
      <c r="C6" s="5">
        <f t="shared" si="0"/>
        <v>86</v>
      </c>
      <c r="D6" s="10">
        <v>2</v>
      </c>
      <c r="E6" s="7"/>
      <c r="F6" s="11"/>
      <c r="G6" s="14"/>
      <c r="H6" s="10">
        <v>18</v>
      </c>
      <c r="I6" s="16"/>
      <c r="J6" s="7"/>
      <c r="K6" s="33"/>
      <c r="L6" s="34"/>
      <c r="M6" s="29" t="s">
        <v>30</v>
      </c>
      <c r="N6" s="23" t="str">
        <f t="shared" si="1"/>
        <v>▷ 하담이는 이번 주간 테스트에서 86점을 받았습니다.
- 독서 : 3/5
- 비문학 : 4/4
- 문학 : 5/5
- 문법 : 3/4
- 어휘 : 11/11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7" spans="1:17" ht="344.25" x14ac:dyDescent="0.35">
      <c r="B7" s="1" t="s">
        <v>8</v>
      </c>
      <c r="C7" s="5">
        <f t="shared" si="0"/>
        <v>91</v>
      </c>
      <c r="D7" s="10">
        <v>1</v>
      </c>
      <c r="E7" s="7"/>
      <c r="F7" s="11"/>
      <c r="G7" s="14"/>
      <c r="H7" s="10">
        <v>18</v>
      </c>
      <c r="I7" s="16"/>
      <c r="J7" s="7"/>
      <c r="K7" s="33"/>
      <c r="L7" s="34"/>
      <c r="M7" s="29" t="s">
        <v>30</v>
      </c>
      <c r="N7" s="23" t="str">
        <f t="shared" si="1"/>
        <v>▷ 승준이는 이번 주간 테스트에서 91점을 받았습니다.
- 독서 : 4/5
- 비문학 : 4/4
- 문학 : 5/5
- 문법 : 3/4
- 어휘 : 11/11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8" spans="1:17" ht="344.25" x14ac:dyDescent="0.35">
      <c r="B8" s="1" t="s">
        <v>9</v>
      </c>
      <c r="C8" s="5">
        <f t="shared" si="0"/>
        <v>82</v>
      </c>
      <c r="D8" s="10">
        <v>2</v>
      </c>
      <c r="E8" s="7"/>
      <c r="F8" s="11"/>
      <c r="G8" s="14">
        <v>13</v>
      </c>
      <c r="H8" s="10">
        <v>15</v>
      </c>
      <c r="I8" s="16"/>
      <c r="J8" s="7"/>
      <c r="K8" s="33"/>
      <c r="L8" s="34"/>
      <c r="M8" s="29" t="s">
        <v>30</v>
      </c>
      <c r="N8" s="23" t="str">
        <f t="shared" si="1"/>
        <v>▷ 다감이는 이번 주간 테스트에서 82점을 받았습니다.
- 독서 : 3/5
- 비문학 : 4/4
- 문학 : 4/5
- 문법 : 3/4
- 어휘 : 11/11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9" spans="1:17" ht="344.25" x14ac:dyDescent="0.35">
      <c r="B9" s="1" t="s">
        <v>10</v>
      </c>
      <c r="C9" s="5">
        <f t="shared" si="0"/>
        <v>82</v>
      </c>
      <c r="D9" s="10">
        <v>2</v>
      </c>
      <c r="E9" s="7"/>
      <c r="F9" s="11"/>
      <c r="G9" s="14">
        <v>13</v>
      </c>
      <c r="H9" s="10">
        <v>18</v>
      </c>
      <c r="I9" s="16"/>
      <c r="J9" s="7"/>
      <c r="K9" s="33"/>
      <c r="L9" s="34"/>
      <c r="M9" s="29" t="s">
        <v>30</v>
      </c>
      <c r="N9" s="23" t="str">
        <f t="shared" si="1"/>
        <v>▷ 다인이는 이번 주간 테스트에서 82점을 받았습니다.
- 독서 : 3/5
- 비문학 : 4/4
- 문학 : 4/5
- 문법 : 3/4
- 어휘 : 11/11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10" spans="1:17" ht="344.25" x14ac:dyDescent="0.35">
      <c r="B10" s="1" t="s">
        <v>11</v>
      </c>
      <c r="C10" s="5">
        <f t="shared" si="0"/>
        <v>82</v>
      </c>
      <c r="D10" s="10">
        <v>1</v>
      </c>
      <c r="E10" s="7"/>
      <c r="F10" s="11"/>
      <c r="G10" s="14"/>
      <c r="H10" s="19" t="s">
        <v>26</v>
      </c>
      <c r="I10" s="16">
        <v>1</v>
      </c>
      <c r="J10" s="7"/>
      <c r="K10" s="33"/>
      <c r="L10" s="34"/>
      <c r="M10" s="29" t="s">
        <v>30</v>
      </c>
      <c r="N10" s="23" t="str">
        <f t="shared" si="1"/>
        <v>▷ 민규는 이번 주간 테스트에서 82점을 받았습니다.
- 독서 : 4/5
- 비문학 : 4/4
- 문학 : 5/5
- 문법 : 2/4
- 어휘 : 10/11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11" spans="1:17" ht="344.25" x14ac:dyDescent="0.35">
      <c r="B11" s="20" t="s">
        <v>28</v>
      </c>
      <c r="C11" s="5">
        <f t="shared" ref="C11" si="2">100-N(D11)*5-N(E11)*4-N(F11)*4-IF(G11="",0,(LEN(SUBSTITUTE(G11," ",""))-LEN(SUBSTITUTE(SUBSTITUTE(G11," ",""),",",""))+1)*4)-IF(H11="",0,(LEN(SUBSTITUTE(H11," ",""))-LEN(SUBSTITUTE(SUBSTITUTE(H11," ",""),",",""))+1)*4)-IF(I11="",0,5)-N(J11)*2</f>
        <v>65</v>
      </c>
      <c r="D11" s="10">
        <v>3</v>
      </c>
      <c r="E11" s="7"/>
      <c r="F11" s="11"/>
      <c r="G11" s="17" t="s">
        <v>27</v>
      </c>
      <c r="H11" s="19">
        <v>18</v>
      </c>
      <c r="I11" s="16"/>
      <c r="J11" s="7">
        <v>2</v>
      </c>
      <c r="K11" s="35" t="s">
        <v>29</v>
      </c>
      <c r="L11" s="34"/>
      <c r="M11" s="29" t="s">
        <v>30</v>
      </c>
      <c r="N11" s="23" t="str">
        <f>"▷ "&amp;B11&amp;"는 이번 주간 테스트에서 "&amp;C11&amp;"점을 받았습니다."&amp;CHAR(10)&amp;CHAR(10)&amp;
IF(C11=100,"",
"- 독서 : "&amp;(5-N(D11)-N(E11))&amp;"/5"&amp;CHAR(10)&amp;
"- 비문학 : "&amp;(4-N(F11))&amp;"/4"&amp;CHAR(10)&amp;
"- 문학 : "&amp;(5-IF(G11="",0,LEN(SUBSTITUTE(G11," ",""))-LEN(SUBSTITUTE(SUBSTITUTE(G11," ",""),",",""))+1))&amp;"/5"&amp;CHAR(10)&amp;
"- 문법 : "&amp;(4-IF(H11="",0,LEN(SUBSTITUTE(H11," ",""))-LEN(SUBSTITUTE(SUBSTITUTE(H11," ",""),",",""))+1))&amp;"/4"&amp;CHAR(10)&amp;
"- 어휘 : "&amp;(11-IF(I11="",0,1)-N(J11))&amp;"/11"&amp;CHAR(10)
)&amp;
IF(AND(K11="",L11=""),
CHAR(10)&amp;"▷ 과 제 : 우수"&amp;CHAR(10)&amp;CHAR(10)&amp;"▷ 수 업 : 우수"&amp;CHAR(10)&amp;CHAR(10)&amp;"※ 과제와 수업에 특이사항이 있으면 전달 드리겠습니다.",
IF(AND(K11&lt;&gt;"",L11=""),
CHAR(10)&amp;"▷ 과 제"&amp;CHAR(10)&amp;"- "&amp;K11&amp;CHAR(10)&amp;CHAR(10)&amp;"▷ 수 업 : 우수",
IF(AND(K11="",L11&lt;&gt;""),
CHAR(10)&amp;"▷ 과 제 : 우수"&amp;CHAR(10)&amp;CHAR(10)&amp;"▷ 수 업"&amp;CHAR(10)&amp;"- "&amp;L11,
CHAR(10)&amp;"▷ 과 제"&amp;CHAR(10)&amp;"- "&amp;K11&amp;CHAR(10)&amp;CHAR(10)&amp;"▷ 수 업"&amp;CHAR(10)&amp;"- "&amp;L11
)))&amp;
IF(M11&lt;&gt;"",CHAR(10)&amp;CHAR(10)&amp;"※ "&amp;M11,"")</f>
        <v>▷ 승우는 이번 주간 테스트에서 65점을 받았습니다.
- 독서 : 2/5
- 비문학 : 4/4
- 문학 : 2/5
- 문법 : 3/4
- 어휘 : 9/11
▷ 과 제
- 승우는 과제를 거의 하지 않고 등원을 했습니다. 등원 전에 과제를 모두 할 수 있도록 지도 부탁드리겠습니다!
▷ 수 업 : 우수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12" spans="1:17" x14ac:dyDescent="0.35">
      <c r="B12" s="2"/>
      <c r="C12" s="5"/>
      <c r="D12" s="10"/>
      <c r="E12" s="7"/>
      <c r="F12" s="11"/>
      <c r="G12" s="14"/>
      <c r="H12" s="10"/>
      <c r="I12" s="16"/>
      <c r="J12" s="7"/>
      <c r="K12" s="33"/>
      <c r="L12" s="34"/>
      <c r="M12" s="33"/>
      <c r="N12" s="23"/>
    </row>
    <row r="13" spans="1:17" customFormat="1" x14ac:dyDescent="0.35">
      <c r="K13" s="36"/>
      <c r="L13" s="24"/>
      <c r="M13" s="36"/>
      <c r="N13" s="24"/>
    </row>
    <row r="14" spans="1:17" customFormat="1" x14ac:dyDescent="0.35">
      <c r="K14" s="36"/>
      <c r="L14" s="24"/>
      <c r="M14" s="36"/>
      <c r="N14" s="24"/>
    </row>
    <row r="15" spans="1:17" customFormat="1" x14ac:dyDescent="0.35">
      <c r="K15" s="36"/>
      <c r="L15" s="24"/>
      <c r="M15" s="36"/>
      <c r="N15" s="24"/>
    </row>
    <row r="16" spans="1:17" customFormat="1" x14ac:dyDescent="0.35">
      <c r="K16" s="36"/>
      <c r="L16" s="24"/>
      <c r="M16" s="36"/>
      <c r="N16" s="24"/>
    </row>
    <row r="17" spans="11:14" customFormat="1" x14ac:dyDescent="0.35">
      <c r="K17" s="36"/>
      <c r="L17" s="24"/>
      <c r="M17" s="36"/>
      <c r="N17" s="24"/>
    </row>
    <row r="18" spans="11:14" customFormat="1" x14ac:dyDescent="0.35">
      <c r="K18" s="36"/>
      <c r="L18" s="24"/>
      <c r="M18" s="36"/>
      <c r="N18" s="24"/>
    </row>
    <row r="19" spans="11:14" customFormat="1" x14ac:dyDescent="0.35">
      <c r="K19" s="36"/>
      <c r="L19" s="24"/>
      <c r="M19" s="36"/>
      <c r="N19" s="24"/>
    </row>
    <row r="20" spans="11:14" customFormat="1" x14ac:dyDescent="0.35">
      <c r="K20" s="36"/>
      <c r="L20" s="24"/>
      <c r="M20" s="36"/>
      <c r="N20" s="24"/>
    </row>
    <row r="21" spans="11:14" customFormat="1" x14ac:dyDescent="0.35">
      <c r="K21" s="36"/>
      <c r="L21" s="24"/>
      <c r="M21" s="36"/>
      <c r="N21" s="24"/>
    </row>
    <row r="22" spans="11:14" customFormat="1" x14ac:dyDescent="0.35">
      <c r="K22" s="36"/>
      <c r="L22" s="24"/>
      <c r="M22" s="36"/>
      <c r="N22" s="24"/>
    </row>
    <row r="23" spans="11:14" customFormat="1" x14ac:dyDescent="0.35">
      <c r="K23" s="36"/>
      <c r="L23" s="24"/>
      <c r="M23" s="36"/>
      <c r="N23" s="24"/>
    </row>
    <row r="24" spans="11:14" customFormat="1" x14ac:dyDescent="0.35">
      <c r="K24" s="36"/>
      <c r="L24" s="24"/>
      <c r="M24" s="36"/>
      <c r="N24" s="24"/>
    </row>
    <row r="25" spans="11:14" customFormat="1" x14ac:dyDescent="0.35">
      <c r="K25" s="36"/>
      <c r="L25" s="24"/>
      <c r="M25" s="36"/>
      <c r="N25" s="24"/>
    </row>
    <row r="26" spans="11:14" customFormat="1" x14ac:dyDescent="0.35">
      <c r="K26" s="36"/>
      <c r="L26" s="24"/>
      <c r="M26" s="36"/>
      <c r="N26" s="24"/>
    </row>
    <row r="27" spans="11:14" customFormat="1" x14ac:dyDescent="0.35">
      <c r="K27" s="36"/>
      <c r="L27" s="24"/>
      <c r="M27" s="36"/>
      <c r="N27" s="24"/>
    </row>
    <row r="28" spans="11:14" customFormat="1" x14ac:dyDescent="0.35">
      <c r="K28" s="36"/>
      <c r="L28" s="24"/>
      <c r="M28" s="36"/>
      <c r="N28" s="24"/>
    </row>
    <row r="29" spans="11:14" customFormat="1" x14ac:dyDescent="0.35">
      <c r="K29" s="36"/>
      <c r="L29" s="24"/>
      <c r="M29" s="36"/>
      <c r="N29" s="24"/>
    </row>
    <row r="30" spans="11:14" customFormat="1" x14ac:dyDescent="0.35">
      <c r="K30" s="36"/>
      <c r="L30" s="24"/>
      <c r="M30" s="36"/>
      <c r="N30" s="24"/>
    </row>
    <row r="31" spans="11:14" customFormat="1" x14ac:dyDescent="0.35">
      <c r="K31" s="36"/>
      <c r="L31" s="24"/>
      <c r="M31" s="36"/>
      <c r="N31" s="24"/>
    </row>
    <row r="32" spans="11:14" customFormat="1" x14ac:dyDescent="0.35">
      <c r="K32" s="36"/>
      <c r="L32" s="24"/>
      <c r="M32" s="36"/>
      <c r="N32" s="24"/>
    </row>
    <row r="33" spans="11:14" customFormat="1" x14ac:dyDescent="0.35">
      <c r="K33" s="36"/>
      <c r="L33" s="24"/>
      <c r="M33" s="36"/>
      <c r="N33" s="24"/>
    </row>
    <row r="34" spans="11:14" customFormat="1" x14ac:dyDescent="0.35">
      <c r="K34" s="36"/>
      <c r="L34" s="24"/>
      <c r="M34" s="36"/>
      <c r="N34" s="24"/>
    </row>
    <row r="35" spans="11:14" customFormat="1" x14ac:dyDescent="0.35">
      <c r="K35" s="36"/>
      <c r="L35" s="24"/>
      <c r="M35" s="36"/>
      <c r="N35" s="24"/>
    </row>
    <row r="36" spans="11:14" customFormat="1" x14ac:dyDescent="0.35">
      <c r="K36" s="36"/>
      <c r="L36" s="24"/>
      <c r="M36" s="36"/>
      <c r="N36" s="24"/>
    </row>
    <row r="37" spans="11:14" customFormat="1" x14ac:dyDescent="0.35">
      <c r="K37" s="36"/>
      <c r="L37" s="24"/>
      <c r="M37" s="36"/>
      <c r="N37" s="24"/>
    </row>
  </sheetData>
  <phoneticPr fontId="3" type="noConversion"/>
  <pageMargins left="0.7" right="0.7" top="0.75" bottom="0.75" header="0.3" footer="0.3"/>
  <ignoredErrors>
    <ignoredError sqref="G11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 Hong</cp:lastModifiedBy>
  <dcterms:modified xsi:type="dcterms:W3CDTF">2026-06-06T06:14:37Z</dcterms:modified>
</cp:coreProperties>
</file>