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9191h\Desktop\[중1] - 1학기 진도 사항\TextMessage\"/>
    </mc:Choice>
  </mc:AlternateContent>
  <xr:revisionPtr revIDLastSave="0" documentId="13_ncr:1_{87044D7C-8414-4F31-92A3-B4E753C67B7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5" l="1"/>
  <c r="N12" i="5" s="1"/>
  <c r="C13" i="5"/>
  <c r="N13" i="5" s="1"/>
  <c r="C14" i="5"/>
  <c r="N14" i="5" s="1"/>
  <c r="C5" i="5"/>
  <c r="C6" i="5"/>
  <c r="C7" i="5"/>
  <c r="N7" i="5" s="1"/>
  <c r="C8" i="5"/>
  <c r="N8" i="5" s="1"/>
  <c r="C9" i="5"/>
  <c r="N9" i="5" s="1"/>
  <c r="C10" i="5"/>
  <c r="N10" i="5" s="1"/>
  <c r="C11" i="5"/>
  <c r="N11" i="5" s="1"/>
  <c r="N5" i="5"/>
  <c r="N6" i="5"/>
  <c r="C2" i="5"/>
  <c r="N2" i="5" s="1"/>
  <c r="C3" i="5"/>
  <c r="N3" i="5" s="1"/>
  <c r="C4" i="5"/>
  <c r="N4" i="5" s="1"/>
</calcChain>
</file>

<file path=xl/sharedStrings.xml><?xml version="1.0" encoding="utf-8"?>
<sst xmlns="http://schemas.openxmlformats.org/spreadsheetml/2006/main" count="26" uniqueCount="26">
  <si>
    <t>주테
점수</t>
  </si>
  <si>
    <t>비문학</t>
  </si>
  <si>
    <t>과제</t>
  </si>
  <si>
    <t>수업</t>
  </si>
  <si>
    <t>전달 사항</t>
  </si>
  <si>
    <t>시우</t>
  </si>
  <si>
    <t>윤건이</t>
  </si>
  <si>
    <t>예승이</t>
  </si>
  <si>
    <t>이름</t>
    <phoneticPr fontId="3" type="noConversion"/>
  </si>
  <si>
    <t>최종문자</t>
    <phoneticPr fontId="3" type="noConversion"/>
  </si>
  <si>
    <t>날짜</t>
    <phoneticPr fontId="3" type="noConversion"/>
  </si>
  <si>
    <t>다은이</t>
    <phoneticPr fontId="3" type="noConversion"/>
  </si>
  <si>
    <t>민지</t>
    <phoneticPr fontId="3" type="noConversion"/>
  </si>
  <si>
    <t>서율이</t>
    <phoneticPr fontId="3" type="noConversion"/>
  </si>
  <si>
    <t>다현이</t>
    <phoneticPr fontId="3" type="noConversion"/>
  </si>
  <si>
    <t>도후</t>
    <phoneticPr fontId="3" type="noConversion"/>
  </si>
  <si>
    <t>예나</t>
    <phoneticPr fontId="3" type="noConversion"/>
  </si>
  <si>
    <t>은서</t>
    <phoneticPr fontId="3" type="noConversion"/>
  </si>
  <si>
    <t>윤슬이</t>
    <phoneticPr fontId="3" type="noConversion"/>
  </si>
  <si>
    <t>정무</t>
    <phoneticPr fontId="3" type="noConversion"/>
  </si>
  <si>
    <t>독서1~3</t>
    <phoneticPr fontId="3" type="noConversion"/>
  </si>
  <si>
    <t>독서4~6</t>
    <phoneticPr fontId="3" type="noConversion"/>
  </si>
  <si>
    <t>문학</t>
    <phoneticPr fontId="3" type="noConversion"/>
  </si>
  <si>
    <t>19번</t>
    <phoneticPr fontId="3" type="noConversion"/>
  </si>
  <si>
    <t>20번</t>
    <phoneticPr fontId="3" type="noConversion"/>
  </si>
  <si>
    <t>문법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</si>
</sst>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rgb="FF000000"/>
      <name val="Arial"/>
      <family val="2"/>
      <scheme val="minor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6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6"/>
        <bgColor rgb="FFFFE599"/>
      </patternFill>
    </fill>
    <fill>
      <patternFill patternType="solid">
        <fgColor theme="5" tint="0.59999389629810485"/>
        <bgColor rgb="FFFFF2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2E436-B2B5-49B7-AFB8-CC247CCA8E17}">
  <dimension ref="A1:Q14"/>
  <sheetViews>
    <sheetView tabSelected="1" zoomScale="40" workbookViewId="0">
      <selection activeCell="H2" sqref="H2"/>
    </sheetView>
  </sheetViews>
  <sheetFormatPr defaultRowHeight="12.75" x14ac:dyDescent="0.35"/>
  <cols>
    <col min="1" max="1" width="10.33203125" style="2" bestFit="1" customWidth="1"/>
    <col min="2" max="2" width="6.46484375" style="2" bestFit="1" customWidth="1"/>
    <col min="3" max="3" width="8.265625" style="2" bestFit="1" customWidth="1"/>
    <col min="4" max="4" width="9.59765625" style="2" bestFit="1" customWidth="1"/>
    <col min="5" max="5" width="10.1328125" style="2" bestFit="1" customWidth="1"/>
    <col min="6" max="6" width="6.46484375" style="2" bestFit="1" customWidth="1"/>
    <col min="7" max="7" width="13.265625" style="2" bestFit="1" customWidth="1"/>
    <col min="8" max="8" width="12.59765625" style="2" bestFit="1" customWidth="1"/>
    <col min="9" max="9" width="9.19921875" style="2" bestFit="1" customWidth="1"/>
    <col min="10" max="10" width="11.06640625" style="2" bestFit="1" customWidth="1"/>
    <col min="11" max="12" width="4.6640625" style="2" bestFit="1" customWidth="1"/>
    <col min="13" max="13" width="8.796875" style="2" bestFit="1" customWidth="1"/>
    <col min="14" max="14" width="53.46484375" style="10" customWidth="1"/>
    <col min="15" max="15" width="8.265625" style="2" bestFit="1" customWidth="1"/>
    <col min="16" max="16" width="8.265625" bestFit="1" customWidth="1"/>
    <col min="17" max="17" width="6.46484375" bestFit="1" customWidth="1"/>
    <col min="18" max="16384" width="9.06640625" style="2"/>
  </cols>
  <sheetData>
    <row r="1" spans="1:14" ht="15.75" x14ac:dyDescent="0.35">
      <c r="A1" s="3" t="s">
        <v>10</v>
      </c>
      <c r="B1" s="7" t="s">
        <v>8</v>
      </c>
      <c r="C1" s="8" t="s">
        <v>0</v>
      </c>
      <c r="D1" s="7" t="s">
        <v>20</v>
      </c>
      <c r="E1" s="7" t="s">
        <v>21</v>
      </c>
      <c r="F1" s="8" t="s">
        <v>1</v>
      </c>
      <c r="G1" s="7" t="s">
        <v>22</v>
      </c>
      <c r="H1" s="7" t="s">
        <v>25</v>
      </c>
      <c r="I1" s="7" t="s">
        <v>23</v>
      </c>
      <c r="J1" s="7" t="s">
        <v>24</v>
      </c>
      <c r="K1" s="8" t="s">
        <v>2</v>
      </c>
      <c r="L1" s="8" t="s">
        <v>3</v>
      </c>
      <c r="M1" s="8" t="s">
        <v>4</v>
      </c>
      <c r="N1" s="11" t="s">
        <v>9</v>
      </c>
    </row>
    <row r="2" spans="1:14" ht="89.25" x14ac:dyDescent="0.35">
      <c r="B2" s="1" t="s">
        <v>5</v>
      </c>
      <c r="C2" s="4">
        <f t="shared" ref="C2:C11" si="0">100-N(D2)*5-N(E2)*4-N(F2)*4-IF(G2="",0,(LEN(SUBSTITUTE(G2," ",""))-LEN(SUBSTITUTE(SUBSTITUTE(G2," ",""),",",""))+1)*4)-IF(H2="",0,(LEN(SUBSTITUTE(H2," ",""))-LEN(SUBSTITUTE(SUBSTITUTE(H2," ",""),",",""))+1)*4)-IF(I2="",0,5)-N(J2)*2</f>
        <v>100</v>
      </c>
      <c r="D2" s="5"/>
      <c r="E2" s="4"/>
      <c r="F2" s="12"/>
      <c r="G2" s="13"/>
      <c r="H2" s="13"/>
      <c r="I2" s="14"/>
      <c r="J2" s="6"/>
      <c r="K2" s="6"/>
      <c r="L2" s="6"/>
      <c r="M2" s="6"/>
      <c r="N2" s="9" t="str">
        <f t="shared" ref="N2:N11" si="1">"▷ "&amp;B2&amp;"는 이번 주간 테스트에서 "&amp;C2&amp;"점을 받았습니다."&amp;CHAR(10)&amp;
IF(C2=100,"",
"- 독서 : "&amp;(5-N(D2)-N(E2))&amp;"/5"&amp;CHAR(10)&amp;
"- 비문학 : "&amp;(4-N(F2))&amp;"/4"&amp;CHAR(10)&amp;
"- 문학 : "&amp;(5-IF(G2="",0,LEN(SUBSTITUTE(G2," ",""))-LEN(SUBSTITUTE(SUBSTITUTE(G2," ",""),",",""))+1))&amp;"/5"&amp;CHAR(10)&amp;
"- 문법 : "&amp;(4-IF(H2="",0,LEN(SUBSTITUTE(H2," ",""))-LEN(SUBSTITUTE(SUBSTITUTE(H2," ",""),",",""))+1))&amp;"/4"&amp;CHAR(10)&amp;
"- 어휘 : "&amp;(11-IF(I2="",0,1)-N(J2))&amp;"/11"&amp;CHAR(10)
)&amp;
IF(AND(K2="",L2=""),
CHAR(10)&amp;"▷ 과 제 : 우수"&amp;CHAR(10)&amp;CHAR(10)&amp;"▷ 수 업 : 우수"&amp;CHAR(10)&amp;CHAR(10)&amp;"※ 과제와 수업에 특이사항이 있으면 전달 드리겠습니다.",
IF(AND(K2&lt;&gt;"",L2=""),
CHAR(10)&amp;"▷ 과 제"&amp;CHAR(10)&amp;"- "&amp;K2&amp;CHAR(10)&amp;CHAR(10)&amp;"▷ 수 업 : 우수",
IF(AND(K2="",L2&lt;&gt;""),
CHAR(10)&amp;"▷ 과 제 : 우수"&amp;CHAR(10)&amp;CHAR(10)&amp;"▷ 수 업"&amp;CHAR(10)&amp;"- "&amp;L2,
CHAR(10)&amp;"▷ 과 제"&amp;CHAR(10)&amp;"- "&amp;K2&amp;CHAR(10)&amp;CHAR(10)&amp;"▷ 수 업"&amp;CHAR(10)&amp;"- "&amp;L2
)))&amp;
IF(M2&lt;&gt;"",CHAR(10)&amp;CHAR(10)&amp;"※ "&amp;M2,"")</f>
        <v>▷ 시우는 이번 주간 테스트에서 100점을 받았습니다.
▷ 과 제 : 우수
▷ 수 업 : 우수
※ 과제와 수업에 특이사항이 있으면 전달 드리겠습니다.</v>
      </c>
    </row>
    <row r="3" spans="1:14" ht="89.25" x14ac:dyDescent="0.35">
      <c r="B3" s="1" t="s">
        <v>6</v>
      </c>
      <c r="C3" s="4">
        <f t="shared" si="0"/>
        <v>100</v>
      </c>
      <c r="D3" s="5"/>
      <c r="E3" s="4"/>
      <c r="F3" s="12"/>
      <c r="G3" s="13"/>
      <c r="H3" s="13"/>
      <c r="I3" s="14"/>
      <c r="J3" s="6"/>
      <c r="K3" s="6"/>
      <c r="L3" s="6"/>
      <c r="M3" s="6"/>
      <c r="N3" s="9" t="str">
        <f t="shared" si="1"/>
        <v>▷ 윤건이는 이번 주간 테스트에서 100점을 받았습니다.
▷ 과 제 : 우수
▷ 수 업 : 우수
※ 과제와 수업에 특이사항이 있으면 전달 드리겠습니다.</v>
      </c>
    </row>
    <row r="4" spans="1:14" ht="89.25" x14ac:dyDescent="0.35">
      <c r="B4" s="1" t="s">
        <v>7</v>
      </c>
      <c r="C4" s="4">
        <f t="shared" si="0"/>
        <v>100</v>
      </c>
      <c r="D4" s="5"/>
      <c r="E4" s="4"/>
      <c r="F4" s="12"/>
      <c r="G4" s="13"/>
      <c r="H4" s="13"/>
      <c r="I4" s="14"/>
      <c r="J4" s="6"/>
      <c r="K4" s="6"/>
      <c r="L4" s="6"/>
      <c r="M4" s="6"/>
      <c r="N4" s="9" t="str">
        <f t="shared" si="1"/>
        <v>▷ 예승이는 이번 주간 테스트에서 100점을 받았습니다.
▷ 과 제 : 우수
▷ 수 업 : 우수
※ 과제와 수업에 특이사항이 있으면 전달 드리겠습니다.</v>
      </c>
    </row>
    <row r="5" spans="1:14" ht="89.25" x14ac:dyDescent="0.35">
      <c r="B5" s="16" t="s">
        <v>11</v>
      </c>
      <c r="C5" s="4">
        <f t="shared" si="0"/>
        <v>100</v>
      </c>
      <c r="D5" s="5"/>
      <c r="E5" s="4"/>
      <c r="F5" s="12"/>
      <c r="G5" s="13"/>
      <c r="H5" s="13"/>
      <c r="I5" s="14"/>
      <c r="J5" s="6"/>
      <c r="K5" s="6"/>
      <c r="L5" s="6"/>
      <c r="M5" s="6"/>
      <c r="N5" s="9" t="str">
        <f t="shared" si="1"/>
        <v>▷ 다은이는 이번 주간 테스트에서 100점을 받았습니다.
▷ 과 제 : 우수
▷ 수 업 : 우수
※ 과제와 수업에 특이사항이 있으면 전달 드리겠습니다.</v>
      </c>
    </row>
    <row r="6" spans="1:14" ht="89.25" x14ac:dyDescent="0.35">
      <c r="B6" s="16" t="s">
        <v>12</v>
      </c>
      <c r="C6" s="4">
        <f t="shared" si="0"/>
        <v>100</v>
      </c>
      <c r="D6" s="5"/>
      <c r="E6" s="4"/>
      <c r="F6" s="12"/>
      <c r="G6" s="13"/>
      <c r="H6" s="13"/>
      <c r="I6" s="14"/>
      <c r="J6" s="6"/>
      <c r="K6" s="6"/>
      <c r="L6" s="6"/>
      <c r="M6" s="6"/>
      <c r="N6" s="9" t="str">
        <f t="shared" si="1"/>
        <v>▷ 민지는 이번 주간 테스트에서 100점을 받았습니다.
▷ 과 제 : 우수
▷ 수 업 : 우수
※ 과제와 수업에 특이사항이 있으면 전달 드리겠습니다.</v>
      </c>
    </row>
    <row r="7" spans="1:14" ht="89.25" x14ac:dyDescent="0.35">
      <c r="B7" s="16" t="s">
        <v>13</v>
      </c>
      <c r="C7" s="4">
        <f t="shared" si="0"/>
        <v>100</v>
      </c>
      <c r="D7" s="5"/>
      <c r="E7" s="4"/>
      <c r="F7" s="12"/>
      <c r="G7" s="13"/>
      <c r="H7" s="13"/>
      <c r="I7" s="14"/>
      <c r="J7" s="6"/>
      <c r="K7" s="6"/>
      <c r="L7" s="6"/>
      <c r="M7" s="6"/>
      <c r="N7" s="9" t="str">
        <f t="shared" si="1"/>
        <v>▷ 서율이는 이번 주간 테스트에서 100점을 받았습니다.
▷ 과 제 : 우수
▷ 수 업 : 우수
※ 과제와 수업에 특이사항이 있으면 전달 드리겠습니다.</v>
      </c>
    </row>
    <row r="8" spans="1:14" ht="89.25" x14ac:dyDescent="0.35">
      <c r="B8" s="16" t="s">
        <v>14</v>
      </c>
      <c r="C8" s="4">
        <f t="shared" si="0"/>
        <v>100</v>
      </c>
      <c r="D8" s="5"/>
      <c r="E8" s="4"/>
      <c r="F8" s="12"/>
      <c r="G8" s="13"/>
      <c r="H8" s="13"/>
      <c r="I8" s="14"/>
      <c r="J8" s="6"/>
      <c r="K8" s="6"/>
      <c r="L8" s="6"/>
      <c r="M8" s="6"/>
      <c r="N8" s="9" t="str">
        <f t="shared" si="1"/>
        <v>▷ 다현이는 이번 주간 테스트에서 100점을 받았습니다.
▷ 과 제 : 우수
▷ 수 업 : 우수
※ 과제와 수업에 특이사항이 있으면 전달 드리겠습니다.</v>
      </c>
    </row>
    <row r="9" spans="1:14" ht="89.25" x14ac:dyDescent="0.35">
      <c r="B9" s="16" t="s">
        <v>19</v>
      </c>
      <c r="C9" s="4">
        <f t="shared" si="0"/>
        <v>100</v>
      </c>
      <c r="D9" s="5"/>
      <c r="E9" s="4"/>
      <c r="F9" s="12"/>
      <c r="G9" s="13"/>
      <c r="H9" s="13"/>
      <c r="I9" s="14"/>
      <c r="J9" s="6"/>
      <c r="K9" s="6"/>
      <c r="L9" s="6"/>
      <c r="M9" s="6"/>
      <c r="N9" s="9" t="str">
        <f t="shared" si="1"/>
        <v>▷ 정무는 이번 주간 테스트에서 100점을 받았습니다.
▷ 과 제 : 우수
▷ 수 업 : 우수
※ 과제와 수업에 특이사항이 있으면 전달 드리겠습니다.</v>
      </c>
    </row>
    <row r="10" spans="1:14" ht="89.25" x14ac:dyDescent="0.35">
      <c r="B10" s="16" t="s">
        <v>15</v>
      </c>
      <c r="C10" s="4">
        <f t="shared" si="0"/>
        <v>100</v>
      </c>
      <c r="D10" s="5"/>
      <c r="E10" s="4"/>
      <c r="F10" s="12"/>
      <c r="G10" s="13"/>
      <c r="H10" s="13"/>
      <c r="I10" s="14"/>
      <c r="J10" s="6"/>
      <c r="K10" s="6"/>
      <c r="L10" s="6"/>
      <c r="M10" s="6"/>
      <c r="N10" s="9" t="str">
        <f t="shared" si="1"/>
        <v>▷ 도후는 이번 주간 테스트에서 100점을 받았습니다.
▷ 과 제 : 우수
▷ 수 업 : 우수
※ 과제와 수업에 특이사항이 있으면 전달 드리겠습니다.</v>
      </c>
    </row>
    <row r="11" spans="1:14" ht="89.25" x14ac:dyDescent="0.35">
      <c r="B11" s="16" t="s">
        <v>16</v>
      </c>
      <c r="C11" s="4">
        <f t="shared" si="0"/>
        <v>100</v>
      </c>
      <c r="D11" s="5"/>
      <c r="E11" s="4"/>
      <c r="F11" s="12"/>
      <c r="G11" s="13"/>
      <c r="H11" s="13"/>
      <c r="I11" s="14"/>
      <c r="J11" s="6"/>
      <c r="K11" s="6"/>
      <c r="L11" s="6"/>
      <c r="M11" s="6"/>
      <c r="N11" s="9" t="str">
        <f t="shared" si="1"/>
        <v>▷ 예나는 이번 주간 테스트에서 100점을 받았습니다.
▷ 과 제 : 우수
▷ 수 업 : 우수
※ 과제와 수업에 특이사항이 있으면 전달 드리겠습니다.</v>
      </c>
    </row>
    <row r="12" spans="1:14" ht="89.25" x14ac:dyDescent="0.35">
      <c r="B12" s="16" t="s">
        <v>17</v>
      </c>
      <c r="C12" s="4">
        <f t="shared" ref="C12:C14" si="2">100-N(D12)*5-N(E12)*4-N(F12)*4-IF(G12="",0,(LEN(SUBSTITUTE(G12," ",""))-LEN(SUBSTITUTE(SUBSTITUTE(G12," ",""),",",""))+1)*4)-IF(H12="",0,(LEN(SUBSTITUTE(H12," ",""))-LEN(SUBSTITUTE(SUBSTITUTE(H12," ",""),",",""))+1)*4)-IF(I12="",0,5)-N(J12)*2</f>
        <v>100</v>
      </c>
      <c r="D12" s="5"/>
      <c r="E12" s="4"/>
      <c r="F12" s="12"/>
      <c r="G12" s="13"/>
      <c r="H12" s="13"/>
      <c r="I12" s="14"/>
      <c r="J12" s="6"/>
      <c r="K12" s="6"/>
      <c r="L12" s="6"/>
      <c r="M12" s="6"/>
      <c r="N12" s="9" t="str">
        <f t="shared" ref="N12:N14" si="3">"▷ "&amp;B12&amp;"는 이번 주간 테스트에서 "&amp;C12&amp;"점을 받았습니다."&amp;CHAR(10)&amp;
IF(C12=100,"",
"- 독서 : "&amp;(5-N(D12)-N(E12))&amp;"/5"&amp;CHAR(10)&amp;
"- 비문학 : "&amp;(4-N(F12))&amp;"/4"&amp;CHAR(10)&amp;
"- 문학 : "&amp;(5-IF(G12="",0,LEN(SUBSTITUTE(G12," ",""))-LEN(SUBSTITUTE(SUBSTITUTE(G12," ",""),",",""))+1))&amp;"/5"&amp;CHAR(10)&amp;
"- 문법 : "&amp;(4-IF(H12="",0,LEN(SUBSTITUTE(H12," ",""))-LEN(SUBSTITUTE(SUBSTITUTE(H12," ",""),",",""))+1))&amp;"/4"&amp;CHAR(10)&amp;
"- 어휘 : "&amp;(11-IF(I12="",0,1)-N(J12))&amp;"/11"&amp;CHAR(10)
)&amp;
IF(AND(K12="",L12=""),
CHAR(10)&amp;"▷ 과 제 : 우수"&amp;CHAR(10)&amp;CHAR(10)&amp;"▷ 수 업 : 우수"&amp;CHAR(10)&amp;CHAR(10)&amp;"※ 과제와 수업에 특이사항이 있으면 전달 드리겠습니다.",
IF(AND(K12&lt;&gt;"",L12=""),
CHAR(10)&amp;"▷ 과 제"&amp;CHAR(10)&amp;"- "&amp;K12&amp;CHAR(10)&amp;CHAR(10)&amp;"▷ 수 업 : 우수",
IF(AND(K12="",L12&lt;&gt;""),
CHAR(10)&amp;"▷ 과 제 : 우수"&amp;CHAR(10)&amp;CHAR(10)&amp;"▷ 수 업"&amp;CHAR(10)&amp;"- "&amp;L12,
CHAR(10)&amp;"▷ 과 제"&amp;CHAR(10)&amp;"- "&amp;K12&amp;CHAR(10)&amp;CHAR(10)&amp;"▷ 수 업"&amp;CHAR(10)&amp;"- "&amp;L12
)))&amp;
IF(M12&lt;&gt;"",CHAR(10)&amp;CHAR(10)&amp;"※ "&amp;M12,"")</f>
        <v>▷ 은서는 이번 주간 테스트에서 100점을 받았습니다.
▷ 과 제 : 우수
▷ 수 업 : 우수
※ 과제와 수업에 특이사항이 있으면 전달 드리겠습니다.</v>
      </c>
    </row>
    <row r="13" spans="1:14" ht="89.25" x14ac:dyDescent="0.35">
      <c r="B13" s="16" t="s">
        <v>18</v>
      </c>
      <c r="C13" s="4">
        <f t="shared" si="2"/>
        <v>100</v>
      </c>
      <c r="D13" s="5"/>
      <c r="E13" s="4"/>
      <c r="F13" s="12"/>
      <c r="G13" s="13"/>
      <c r="H13" s="13"/>
      <c r="I13" s="14"/>
      <c r="J13" s="6"/>
      <c r="K13" s="6"/>
      <c r="L13" s="6"/>
      <c r="M13" s="6"/>
      <c r="N13" s="9" t="str">
        <f t="shared" si="3"/>
        <v>▷ 윤슬이는 이번 주간 테스트에서 100점을 받았습니다.
▷ 과 제 : 우수
▷ 수 업 : 우수
※ 과제와 수업에 특이사항이 있으면 전달 드리겠습니다.</v>
      </c>
    </row>
    <row r="14" spans="1:14" ht="89.25" x14ac:dyDescent="0.35">
      <c r="B14" s="15"/>
      <c r="C14" s="4">
        <f t="shared" si="2"/>
        <v>100</v>
      </c>
      <c r="D14" s="5"/>
      <c r="E14" s="4"/>
      <c r="F14" s="12"/>
      <c r="G14" s="13"/>
      <c r="H14" s="13"/>
      <c r="I14" s="14"/>
      <c r="J14" s="6"/>
      <c r="K14" s="6"/>
      <c r="L14" s="6"/>
      <c r="M14" s="6"/>
      <c r="N14" s="9" t="str">
        <f t="shared" si="3"/>
        <v>▷ 는 이번 주간 테스트에서 100점을 받았습니다.
▷ 과 제 : 우수
▷ 수 업 : 우수
※ 과제와 수업에 특이사항이 있으면 전달 드리겠습니다.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Hong</cp:lastModifiedBy>
  <dcterms:modified xsi:type="dcterms:W3CDTF">2026-06-05T04:58:54Z</dcterms:modified>
</cp:coreProperties>
</file>