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9191h\Desktop\[중1] - 1학기 진도 사항\weekly_message\"/>
    </mc:Choice>
  </mc:AlternateContent>
  <xr:revisionPtr revIDLastSave="0" documentId="13_ncr:1_{BE5C8708-FDC8-443C-B758-6E59C2F39008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5" l="1"/>
  <c r="N10" i="5" s="1"/>
  <c r="C2" i="5"/>
  <c r="N2" i="5" s="1"/>
  <c r="C3" i="5"/>
  <c r="N3" i="5" s="1"/>
  <c r="C4" i="5"/>
  <c r="N4" i="5" s="1"/>
  <c r="C5" i="5"/>
  <c r="N5" i="5" s="1"/>
  <c r="C6" i="5"/>
  <c r="N6" i="5" s="1"/>
  <c r="C7" i="5"/>
  <c r="N7" i="5" s="1"/>
  <c r="C8" i="5"/>
  <c r="N8" i="5" s="1"/>
  <c r="C9" i="5"/>
  <c r="N9" i="5" s="1"/>
</calcChain>
</file>

<file path=xl/sharedStrings.xml><?xml version="1.0" encoding="utf-8"?>
<sst xmlns="http://schemas.openxmlformats.org/spreadsheetml/2006/main" count="38" uniqueCount="28">
  <si>
    <t>주테
점수</t>
  </si>
  <si>
    <t>비문학</t>
  </si>
  <si>
    <t>과제</t>
  </si>
  <si>
    <t>수업</t>
  </si>
  <si>
    <t>전달 사항</t>
  </si>
  <si>
    <t>하율이</t>
  </si>
  <si>
    <t>무결이</t>
  </si>
  <si>
    <t>서진이</t>
  </si>
  <si>
    <t>서하</t>
  </si>
  <si>
    <t>서연이</t>
  </si>
  <si>
    <t>이름</t>
    <phoneticPr fontId="3" type="noConversion"/>
  </si>
  <si>
    <t>최종문자</t>
    <phoneticPr fontId="3" type="noConversion"/>
  </si>
  <si>
    <t>날짜</t>
    <phoneticPr fontId="3" type="noConversion"/>
  </si>
  <si>
    <t>가령이</t>
  </si>
  <si>
    <t>준우</t>
  </si>
  <si>
    <t>준호</t>
  </si>
  <si>
    <t>독서1~3</t>
    <phoneticPr fontId="3" type="noConversion"/>
  </si>
  <si>
    <t>독서4~6</t>
    <phoneticPr fontId="3" type="noConversion"/>
  </si>
  <si>
    <t>문학</t>
    <phoneticPr fontId="3" type="noConversion"/>
  </si>
  <si>
    <t>19번</t>
    <phoneticPr fontId="3" type="noConversion"/>
  </si>
  <si>
    <t>20번</t>
    <phoneticPr fontId="3" type="noConversion"/>
  </si>
  <si>
    <t>문법</t>
    <phoneticPr fontId="3" type="noConversion"/>
  </si>
  <si>
    <t>시윤이</t>
    <phoneticPr fontId="3" type="noConversion"/>
  </si>
  <si>
    <t>1월부터 시작된 학기가 어느덧 마지막을 향해 가고 있습니다. 아이들이 과제 수행에는 많이 익숙해졌지만, 최근에는 문제를 꼼꼼하게 확인하기보다 피상적으로 해결하려는 모습이 자주 보이고 있습니다.
날씨가 점점 더워지면서 체력적으로 쉽게 지칠 수 있는 시기이지만, 과제를 수행할 때만큼은 조금 더 집중해서 끝까지 꼼꼼하게 확인하는 습관을 유지할 수 있도록 가정에서도 많은 격려 부탁드립니다.</t>
    <phoneticPr fontId="3" type="noConversion"/>
  </si>
  <si>
    <t>10, 13</t>
    <phoneticPr fontId="3" type="noConversion"/>
  </si>
  <si>
    <t>10, 14</t>
    <phoneticPr fontId="3" type="noConversion"/>
  </si>
  <si>
    <r>
      <rPr>
        <sz val="10"/>
        <color rgb="FF000000"/>
        <rFont val="맑은 고딕"/>
        <family val="3"/>
        <charset val="129"/>
      </rPr>
      <t>과제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곳곳에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풀지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않고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빈칸으로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문제들이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보였습니다</t>
    </r>
    <r>
      <rPr>
        <sz val="10"/>
        <color rgb="FF000000"/>
        <rFont val="Arial"/>
        <family val="2"/>
        <scheme val="minor"/>
      </rPr>
      <t xml:space="preserve">. </t>
    </r>
    <r>
      <rPr>
        <sz val="10"/>
        <color rgb="FF000000"/>
        <rFont val="맑은 고딕"/>
        <family val="3"/>
        <charset val="129"/>
      </rPr>
      <t>반드시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과제를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꼼꼼하게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있도록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가정에서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지도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부탁드립니다</t>
    </r>
    <r>
      <rPr>
        <sz val="10"/>
        <color rgb="FF000000"/>
        <rFont val="Arial"/>
        <family val="2"/>
        <scheme val="minor"/>
      </rPr>
      <t>!</t>
    </r>
    <phoneticPr fontId="3" type="noConversion"/>
  </si>
  <si>
    <t>명제판단의 근거 찾기를 하지 않아서 따로 지도했습니다. 근거찾기를 반드시 수행할 수 있도록 지도 부탁드립니다!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</si>
</sst>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8"/>
      <name val="Arial"/>
      <family val="3"/>
      <charset val="129"/>
      <scheme val="minor"/>
    </font>
    <font>
      <b/>
      <sz val="10"/>
      <color theme="1"/>
      <name val="맑은 고딕"/>
      <family val="3"/>
      <charset val="129"/>
    </font>
    <font>
      <sz val="10"/>
      <color rgb="FF000000"/>
      <name val="Arial"/>
      <family val="2"/>
      <scheme val="minor"/>
    </font>
    <font>
      <sz val="10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0"/>
      <color rgb="FF000000"/>
      <name val="Arial"/>
      <family val="3"/>
      <charset val="129"/>
      <scheme val="minor"/>
    </font>
    <font>
      <sz val="10"/>
      <color theme="1"/>
      <name val="맑은 고딕"/>
      <family val="2"/>
      <charset val="129"/>
    </font>
    <font>
      <b/>
      <sz val="10"/>
      <color rgb="FF000000"/>
      <name val="Arial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theme="6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theme="5" tint="0.59999389629810485"/>
        <bgColor rgb="FFFFF2CC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rgb="FFFFF2CC"/>
      </patternFill>
    </fill>
    <fill>
      <patternFill patternType="solid">
        <fgColor theme="2"/>
        <bgColor rgb="FFFFF2CC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5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7" fillId="2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left" vertical="top" wrapText="1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0" fillId="0" borderId="0" xfId="0" applyFont="1"/>
    <xf numFmtId="0" fontId="10" fillId="0" borderId="0" xfId="0" applyFont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2E436-B2B5-49B7-AFB8-CC247CCA8E17}">
  <dimension ref="A1:Q20"/>
  <sheetViews>
    <sheetView tabSelected="1" zoomScale="51" zoomScaleNormal="85" workbookViewId="0">
      <pane ySplit="1" topLeftCell="A9" activePane="bottomLeft" state="frozen"/>
      <selection pane="bottomLeft" activeCell="M2" sqref="M2:M10"/>
    </sheetView>
  </sheetViews>
  <sheetFormatPr defaultRowHeight="13.15" x14ac:dyDescent="0.35"/>
  <cols>
    <col min="1" max="1" width="10.33203125" style="2" bestFit="1" customWidth="1"/>
    <col min="2" max="2" width="6.46484375" style="2" bestFit="1" customWidth="1"/>
    <col min="3" max="3" width="8.265625" style="21" bestFit="1" customWidth="1"/>
    <col min="4" max="4" width="9.59765625" style="2" bestFit="1" customWidth="1"/>
    <col min="5" max="5" width="10.1328125" style="2" bestFit="1" customWidth="1"/>
    <col min="6" max="6" width="6.46484375" style="2" bestFit="1" customWidth="1"/>
    <col min="7" max="7" width="13.265625" style="2" bestFit="1" customWidth="1"/>
    <col min="8" max="8" width="12.59765625" style="2" bestFit="1" customWidth="1"/>
    <col min="9" max="9" width="9.19921875" style="2" bestFit="1" customWidth="1"/>
    <col min="10" max="10" width="11.06640625" style="2" bestFit="1" customWidth="1"/>
    <col min="11" max="11" width="13.9296875" style="26" customWidth="1"/>
    <col min="12" max="12" width="12.6640625" style="26" customWidth="1"/>
    <col min="13" max="13" width="31.06640625" style="2" customWidth="1"/>
    <col min="14" max="14" width="39.265625" style="9" customWidth="1"/>
    <col min="15" max="15" width="8.265625" style="2" bestFit="1" customWidth="1"/>
    <col min="16" max="16" width="8.265625" bestFit="1" customWidth="1"/>
    <col min="17" max="17" width="6.46484375" bestFit="1" customWidth="1"/>
    <col min="18" max="16384" width="9.06640625" style="2"/>
  </cols>
  <sheetData>
    <row r="1" spans="1:14" ht="15.75" x14ac:dyDescent="0.35">
      <c r="A1" s="4" t="s">
        <v>12</v>
      </c>
      <c r="B1" s="6" t="s">
        <v>10</v>
      </c>
      <c r="C1" s="7" t="s">
        <v>0</v>
      </c>
      <c r="D1" s="6" t="s">
        <v>16</v>
      </c>
      <c r="E1" s="6" t="s">
        <v>17</v>
      </c>
      <c r="F1" s="7" t="s">
        <v>1</v>
      </c>
      <c r="G1" s="6" t="s">
        <v>18</v>
      </c>
      <c r="H1" s="6" t="s">
        <v>21</v>
      </c>
      <c r="I1" s="6" t="s">
        <v>19</v>
      </c>
      <c r="J1" s="6" t="s">
        <v>20</v>
      </c>
      <c r="K1" s="22" t="s">
        <v>2</v>
      </c>
      <c r="L1" s="22" t="s">
        <v>3</v>
      </c>
      <c r="M1" s="7" t="s">
        <v>4</v>
      </c>
      <c r="N1" s="10" t="s">
        <v>11</v>
      </c>
    </row>
    <row r="2" spans="1:14" ht="344.25" x14ac:dyDescent="0.35">
      <c r="A2" s="3">
        <v>46171</v>
      </c>
      <c r="B2" s="1" t="s">
        <v>5</v>
      </c>
      <c r="C2" s="19">
        <f t="shared" ref="C2:C9" si="0">100-N(D2)*5-N(E2)*4-N(F2)*4-IF(G2="",0,(LEN(SUBSTITUTE(G2," ",""))-LEN(SUBSTITUTE(SUBSTITUTE(G2," ",""),",",""))+1)*4)-IF(H2="",0,(LEN(SUBSTITUTE(H2," ",""))-LEN(SUBSTITUTE(SUBSTITUTE(H2," ",""),",",""))+1)*4)-IF(I2="",0,5)-N(J2)*2</f>
        <v>91</v>
      </c>
      <c r="D2" s="12">
        <v>1</v>
      </c>
      <c r="E2" s="5">
        <v>1</v>
      </c>
      <c r="F2" s="13"/>
      <c r="G2" s="17"/>
      <c r="H2" s="14"/>
      <c r="I2" s="15"/>
      <c r="J2" s="18"/>
      <c r="K2" s="23"/>
      <c r="L2" s="23"/>
      <c r="M2" s="16" t="s">
        <v>23</v>
      </c>
      <c r="N2" s="8" t="str">
        <f>"▷ "&amp;B2&amp;"는 이번 주간 테스트에서 "&amp;C2&amp;"점을 받았습니다."&amp;CHAR(10)&amp;CHAR(10)&amp;
IF(C2=100,"",
"- 독서 : "&amp;(5-N(D2)-N(E2))&amp;"/5"&amp;CHAR(10)&amp;
"- 비문학 : "&amp;(4-N(F2))&amp;"/4"&amp;CHAR(10)&amp;
"- 문학 : "&amp;(5-IF(G2="",0,LEN(SUBSTITUTE(G2," ",""))-LEN(SUBSTITUTE(SUBSTITUTE(G2," ",""),",",""))+1))&amp;"/5"&amp;CHAR(10)&amp;
"- 문법 : "&amp;(4-IF(H2="",0,LEN(SUBSTITUTE(H2," ",""))-LEN(SUBSTITUTE(SUBSTITUTE(H2," ",""),",",""))+1))&amp;"/4"&amp;CHAR(10)&amp;
"- 어휘 : "&amp;(11-IF(I2="",0,1)-N(J2))&amp;"/11"&amp;CHAR(10)
)&amp;
IF(AND(K2="",L2=""),
CHAR(10)&amp;"▷ 과 제 : 우수"&amp;CHAR(10)&amp;CHAR(10)&amp;"▷ 수 업 : 우수"&amp;CHAR(10)&amp;CHAR(10)&amp;"※ 과제와 수업에 특이사항이 있으면 전달 드리겠습니다.",
IF(AND(K2&lt;&gt;"",L2=""),
CHAR(10)&amp;"▷ 과 제"&amp;CHAR(10)&amp;"- "&amp;K2&amp;CHAR(10)&amp;CHAR(10)&amp;"▷ 수 업 : 우수",
IF(AND(K2="",L2&lt;&gt;""),
CHAR(10)&amp;"▷ 과 제 : 우수"&amp;CHAR(10)&amp;CHAR(10)&amp;"▷ 수 업"&amp;CHAR(10)&amp;"- "&amp;L2,
CHAR(10)&amp;"▷ 과 제"&amp;CHAR(10)&amp;"- "&amp;K2&amp;CHAR(10)&amp;CHAR(10)&amp;"▷ 수 업"&amp;CHAR(10)&amp;"- "&amp;L2
)))&amp;
IF(M2&lt;&gt;"",CHAR(10)&amp;CHAR(10)&amp;"※ "&amp;M2,"")</f>
        <v>▷ 하율이는 이번 주간 테스트에서 91점을 받았습니다.
- 독서 : 3/5
- 비문학 : 4/4
- 문학 : 5/5
- 문법 : 4/4
- 어휘 : 11/11
▷ 과 제 : 우수
▷ 수 업 : 우수
※ 과제와 수업에 특이사항이 있으면 전달 드리겠습니다.
※ 1월부터 시작된 학기가 어느덧 마지막을 향해 가고 있습니다. 아이들이 과제 수행에는 많이 익숙해졌지만, 최근에는 문제를 꼼꼼하게 확인하기보다 피상적으로 해결하려는 모습이 자주 보이고 있습니다.
날씨가 점점 더워지면서 체력적으로 쉽게 지칠 수 있는 시기이지만, 과제를 수행할 때만큼은 조금 더 집중해서 끝까지 꼼꼼하게 확인하는 습관을 유지할 수 있도록 가정에서도 많은 격려 부탁드립니다.</v>
      </c>
    </row>
    <row r="3" spans="1:14" ht="344.25" x14ac:dyDescent="0.35">
      <c r="B3" s="1" t="s">
        <v>6</v>
      </c>
      <c r="C3" s="19">
        <f t="shared" si="0"/>
        <v>87</v>
      </c>
      <c r="D3" s="12">
        <v>1</v>
      </c>
      <c r="E3" s="5"/>
      <c r="F3" s="13"/>
      <c r="G3" s="17">
        <v>10</v>
      </c>
      <c r="H3" s="14">
        <v>18</v>
      </c>
      <c r="I3" s="15"/>
      <c r="J3" s="18"/>
      <c r="K3" s="23"/>
      <c r="L3" s="23"/>
      <c r="M3" s="16" t="s">
        <v>23</v>
      </c>
      <c r="N3" s="8" t="str">
        <f t="shared" ref="N3:N10" si="1">"▷ "&amp;B3&amp;"는 이번 주간 테스트에서 "&amp;C3&amp;"점을 받았습니다."&amp;CHAR(10)&amp;CHAR(10)&amp;
IF(C3=100,"",
"- 독서 : "&amp;(5-N(D3)-N(E3))&amp;"/5"&amp;CHAR(10)&amp;
"- 비문학 : "&amp;(4-N(F3))&amp;"/4"&amp;CHAR(10)&amp;
"- 문학 : "&amp;(5-IF(G3="",0,LEN(SUBSTITUTE(G3," ",""))-LEN(SUBSTITUTE(SUBSTITUTE(G3," ",""),",",""))+1))&amp;"/5"&amp;CHAR(10)&amp;
"- 문법 : "&amp;(4-IF(H3="",0,LEN(SUBSTITUTE(H3," ",""))-LEN(SUBSTITUTE(SUBSTITUTE(H3," ",""),",",""))+1))&amp;"/4"&amp;CHAR(10)&amp;
"- 어휘 : "&amp;(11-IF(I3="",0,1)-N(J3))&amp;"/11"&amp;CHAR(10)
)&amp;
IF(AND(K3="",L3=""),
CHAR(10)&amp;"▷ 과 제 : 우수"&amp;CHAR(10)&amp;CHAR(10)&amp;"▷ 수 업 : 우수"&amp;CHAR(10)&amp;CHAR(10)&amp;"※ 과제와 수업에 특이사항이 있으면 전달 드리겠습니다.",
IF(AND(K3&lt;&gt;"",L3=""),
CHAR(10)&amp;"▷ 과 제"&amp;CHAR(10)&amp;"- "&amp;K3&amp;CHAR(10)&amp;CHAR(10)&amp;"▷ 수 업 : 우수",
IF(AND(K3="",L3&lt;&gt;""),
CHAR(10)&amp;"▷ 과 제 : 우수"&amp;CHAR(10)&amp;CHAR(10)&amp;"▷ 수 업"&amp;CHAR(10)&amp;"- "&amp;L3,
CHAR(10)&amp;"▷ 과 제"&amp;CHAR(10)&amp;"- "&amp;K3&amp;CHAR(10)&amp;CHAR(10)&amp;"▷ 수 업"&amp;CHAR(10)&amp;"- "&amp;L3
)))&amp;
IF(M3&lt;&gt;"",CHAR(10)&amp;CHAR(10)&amp;"※ "&amp;M3,"")</f>
        <v>▷ 무결이는 이번 주간 테스트에서 87점을 받았습니다.
- 독서 : 4/5
- 비문학 : 4/4
- 문학 : 4/5
- 문법 : 3/4
- 어휘 : 11/11
▷ 과 제 : 우수
▷ 수 업 : 우수
※ 과제와 수업에 특이사항이 있으면 전달 드리겠습니다.
※ 1월부터 시작된 학기가 어느덧 마지막을 향해 가고 있습니다. 아이들이 과제 수행에는 많이 익숙해졌지만, 최근에는 문제를 꼼꼼하게 확인하기보다 피상적으로 해결하려는 모습이 자주 보이고 있습니다.
날씨가 점점 더워지면서 체력적으로 쉽게 지칠 수 있는 시기이지만, 과제를 수행할 때만큼은 조금 더 집중해서 끝까지 꼼꼼하게 확인하는 습관을 유지할 수 있도록 가정에서도 많은 격려 부탁드립니다.</v>
      </c>
    </row>
    <row r="4" spans="1:14" ht="344.25" x14ac:dyDescent="0.35">
      <c r="B4" s="1" t="s">
        <v>7</v>
      </c>
      <c r="C4" s="19">
        <f t="shared" si="0"/>
        <v>85</v>
      </c>
      <c r="D4" s="12">
        <v>2</v>
      </c>
      <c r="E4" s="5"/>
      <c r="F4" s="13"/>
      <c r="G4" s="17"/>
      <c r="H4" s="14"/>
      <c r="I4" s="15">
        <v>1</v>
      </c>
      <c r="J4" s="18"/>
      <c r="K4" s="23"/>
      <c r="L4" s="23"/>
      <c r="M4" s="16" t="s">
        <v>23</v>
      </c>
      <c r="N4" s="8" t="str">
        <f t="shared" si="1"/>
        <v>▷ 서진이는 이번 주간 테스트에서 85점을 받았습니다.
- 독서 : 3/5
- 비문학 : 4/4
- 문학 : 5/5
- 문법 : 4/4
- 어휘 : 10/11
▷ 과 제 : 우수
▷ 수 업 : 우수
※ 과제와 수업에 특이사항이 있으면 전달 드리겠습니다.
※ 1월부터 시작된 학기가 어느덧 마지막을 향해 가고 있습니다. 아이들이 과제 수행에는 많이 익숙해졌지만, 최근에는 문제를 꼼꼼하게 확인하기보다 피상적으로 해결하려는 모습이 자주 보이고 있습니다.
날씨가 점점 더워지면서 체력적으로 쉽게 지칠 수 있는 시기이지만, 과제를 수행할 때만큼은 조금 더 집중해서 끝까지 꼼꼼하게 확인하는 습관을 유지할 수 있도록 가정에서도 많은 격려 부탁드립니다.</v>
      </c>
    </row>
    <row r="5" spans="1:14" ht="344.25" x14ac:dyDescent="0.35">
      <c r="B5" s="1" t="s">
        <v>13</v>
      </c>
      <c r="C5" s="19">
        <f t="shared" si="0"/>
        <v>91</v>
      </c>
      <c r="D5" s="12">
        <v>1</v>
      </c>
      <c r="E5" s="5"/>
      <c r="F5" s="13"/>
      <c r="G5" s="17">
        <v>13</v>
      </c>
      <c r="H5" s="14"/>
      <c r="I5" s="15"/>
      <c r="J5" s="18"/>
      <c r="K5" s="23"/>
      <c r="L5" s="23"/>
      <c r="M5" s="16" t="s">
        <v>23</v>
      </c>
      <c r="N5" s="8" t="str">
        <f t="shared" si="1"/>
        <v>▷ 가령이는 이번 주간 테스트에서 91점을 받았습니다.
- 독서 : 4/5
- 비문학 : 4/4
- 문학 : 4/5
- 문법 : 4/4
- 어휘 : 11/11
▷ 과 제 : 우수
▷ 수 업 : 우수
※ 과제와 수업에 특이사항이 있으면 전달 드리겠습니다.
※ 1월부터 시작된 학기가 어느덧 마지막을 향해 가고 있습니다. 아이들이 과제 수행에는 많이 익숙해졌지만, 최근에는 문제를 꼼꼼하게 확인하기보다 피상적으로 해결하려는 모습이 자주 보이고 있습니다.
날씨가 점점 더워지면서 체력적으로 쉽게 지칠 수 있는 시기이지만, 과제를 수행할 때만큼은 조금 더 집중해서 끝까지 꼼꼼하게 확인하는 습관을 유지할 수 있도록 가정에서도 많은 격려 부탁드립니다.</v>
      </c>
    </row>
    <row r="6" spans="1:14" ht="344.25" x14ac:dyDescent="0.35">
      <c r="B6" s="1" t="s">
        <v>14</v>
      </c>
      <c r="C6" s="19">
        <f t="shared" si="0"/>
        <v>68</v>
      </c>
      <c r="D6" s="12">
        <v>2</v>
      </c>
      <c r="E6" s="5"/>
      <c r="F6" s="13">
        <v>1</v>
      </c>
      <c r="G6" s="17" t="s">
        <v>24</v>
      </c>
      <c r="H6" s="14">
        <v>16</v>
      </c>
      <c r="I6" s="15"/>
      <c r="J6" s="18">
        <v>3</v>
      </c>
      <c r="K6" s="27" t="s">
        <v>27</v>
      </c>
      <c r="L6" s="23"/>
      <c r="M6" s="16" t="s">
        <v>23</v>
      </c>
      <c r="N6" s="8" t="str">
        <f t="shared" si="1"/>
        <v>▷ 준우는 이번 주간 테스트에서 68점을 받았습니다.
- 독서 : 3/5
- 비문학 : 3/4
- 문학 : 3/5
- 문법 : 3/4
- 어휘 : 8/11
▷ 과 제
- 명제판단의 근거 찾기를 하지 않아서 따로 지도했습니다. 근거찾기를 반드시 수행할 수 있도록 지도 부탁드립니다!
▷ 수 업 : 우수
※ 1월부터 시작된 학기가 어느덧 마지막을 향해 가고 있습니다. 아이들이 과제 수행에는 많이 익숙해졌지만, 최근에는 문제를 꼼꼼하게 확인하기보다 피상적으로 해결하려는 모습이 자주 보이고 있습니다.
날씨가 점점 더워지면서 체력적으로 쉽게 지칠 수 있는 시기이지만, 과제를 수행할 때만큼은 조금 더 집중해서 끝까지 꼼꼼하게 확인하는 습관을 유지할 수 있도록 가정에서도 많은 격려 부탁드립니다.</v>
      </c>
    </row>
    <row r="7" spans="1:14" ht="344.25" x14ac:dyDescent="0.35">
      <c r="B7" s="1" t="s">
        <v>15</v>
      </c>
      <c r="C7" s="19">
        <f t="shared" si="0"/>
        <v>82</v>
      </c>
      <c r="D7" s="12">
        <v>2</v>
      </c>
      <c r="E7" s="5"/>
      <c r="F7" s="13"/>
      <c r="G7" s="17">
        <v>10</v>
      </c>
      <c r="H7" s="14">
        <v>18</v>
      </c>
      <c r="I7" s="15"/>
      <c r="J7" s="18"/>
      <c r="K7" s="23"/>
      <c r="L7" s="23"/>
      <c r="M7" s="16" t="s">
        <v>23</v>
      </c>
      <c r="N7" s="8" t="str">
        <f t="shared" si="1"/>
        <v>▷ 준호는 이번 주간 테스트에서 82점을 받았습니다.
- 독서 : 3/5
- 비문학 : 4/4
- 문학 : 4/5
- 문법 : 3/4
- 어휘 : 11/11
▷ 과 제 : 우수
▷ 수 업 : 우수
※ 과제와 수업에 특이사항이 있으면 전달 드리겠습니다.
※ 1월부터 시작된 학기가 어느덧 마지막을 향해 가고 있습니다. 아이들이 과제 수행에는 많이 익숙해졌지만, 최근에는 문제를 꼼꼼하게 확인하기보다 피상적으로 해결하려는 모습이 자주 보이고 있습니다.
날씨가 점점 더워지면서 체력적으로 쉽게 지칠 수 있는 시기이지만, 과제를 수행할 때만큼은 조금 더 집중해서 끝까지 꼼꼼하게 확인하는 습관을 유지할 수 있도록 가정에서도 많은 격려 부탁드립니다.</v>
      </c>
    </row>
    <row r="8" spans="1:14" ht="344.25" x14ac:dyDescent="0.35">
      <c r="B8" s="1" t="s">
        <v>9</v>
      </c>
      <c r="C8" s="19">
        <f t="shared" si="0"/>
        <v>79</v>
      </c>
      <c r="D8" s="12">
        <v>1</v>
      </c>
      <c r="E8" s="5"/>
      <c r="F8" s="13"/>
      <c r="G8" s="17" t="s">
        <v>25</v>
      </c>
      <c r="H8" s="14">
        <v>18</v>
      </c>
      <c r="I8" s="15"/>
      <c r="J8" s="18">
        <v>2</v>
      </c>
      <c r="K8" s="23"/>
      <c r="L8" s="23"/>
      <c r="M8" s="16" t="s">
        <v>23</v>
      </c>
      <c r="N8" s="8" t="str">
        <f t="shared" si="1"/>
        <v>▷ 서연이는 이번 주간 테스트에서 79점을 받았습니다.
- 독서 : 4/5
- 비문학 : 4/4
- 문학 : 3/5
- 문법 : 3/4
- 어휘 : 9/11
▷ 과 제 : 우수
▷ 수 업 : 우수
※ 과제와 수업에 특이사항이 있으면 전달 드리겠습니다.
※ 1월부터 시작된 학기가 어느덧 마지막을 향해 가고 있습니다. 아이들이 과제 수행에는 많이 익숙해졌지만, 최근에는 문제를 꼼꼼하게 확인하기보다 피상적으로 해결하려는 모습이 자주 보이고 있습니다.
날씨가 점점 더워지면서 체력적으로 쉽게 지칠 수 있는 시기이지만, 과제를 수행할 때만큼은 조금 더 집중해서 끝까지 꼼꼼하게 확인하는 습관을 유지할 수 있도록 가정에서도 많은 격려 부탁드립니다.</v>
      </c>
    </row>
    <row r="9" spans="1:14" ht="344.25" x14ac:dyDescent="0.35">
      <c r="B9" s="1" t="s">
        <v>8</v>
      </c>
      <c r="C9" s="19">
        <f t="shared" si="0"/>
        <v>74</v>
      </c>
      <c r="D9" s="12">
        <v>2</v>
      </c>
      <c r="E9" s="5"/>
      <c r="F9" s="13"/>
      <c r="G9" s="17" t="s">
        <v>25</v>
      </c>
      <c r="H9" s="14">
        <v>18</v>
      </c>
      <c r="I9" s="15"/>
      <c r="J9" s="18">
        <v>2</v>
      </c>
      <c r="K9" s="23"/>
      <c r="L9" s="23"/>
      <c r="M9" s="16" t="s">
        <v>23</v>
      </c>
      <c r="N9" s="8" t="str">
        <f t="shared" si="1"/>
        <v>▷ 서하는 이번 주간 테스트에서 74점을 받았습니다.
- 독서 : 3/5
- 비문학 : 4/4
- 문학 : 3/5
- 문법 : 3/4
- 어휘 : 9/11
▷ 과 제 : 우수
▷ 수 업 : 우수
※ 과제와 수업에 특이사항이 있으면 전달 드리겠습니다.
※ 1월부터 시작된 학기가 어느덧 마지막을 향해 가고 있습니다. 아이들이 과제 수행에는 많이 익숙해졌지만, 최근에는 문제를 꼼꼼하게 확인하기보다 피상적으로 해결하려는 모습이 자주 보이고 있습니다.
날씨가 점점 더워지면서 체력적으로 쉽게 지칠 수 있는 시기이지만, 과제를 수행할 때만큼은 조금 더 집중해서 끝까지 꼼꼼하게 확인하는 습관을 유지할 수 있도록 가정에서도 많은 격려 부탁드립니다.</v>
      </c>
    </row>
    <row r="10" spans="1:14" ht="344.25" x14ac:dyDescent="0.35">
      <c r="B10" s="11" t="s">
        <v>22</v>
      </c>
      <c r="C10" s="19">
        <f t="shared" ref="C10" si="2">100-N(D10)*5-N(E10)*4-N(F10)*4-IF(G10="",0,(LEN(SUBSTITUTE(G10," ",""))-LEN(SUBSTITUTE(SUBSTITUTE(G10," ",""),",",""))+1)*4)-IF(H10="",0,(LEN(SUBSTITUTE(H10," ",""))-LEN(SUBSTITUTE(SUBSTITUTE(H10," ",""),",",""))+1)*4)-IF(I10="",0,5)-N(J10)*2</f>
        <v>83</v>
      </c>
      <c r="D10" s="12">
        <v>1</v>
      </c>
      <c r="E10" s="5"/>
      <c r="F10" s="13"/>
      <c r="G10" s="17" t="s">
        <v>24</v>
      </c>
      <c r="H10" s="14">
        <v>18</v>
      </c>
      <c r="I10" s="15"/>
      <c r="J10" s="18"/>
      <c r="K10" s="24" t="s">
        <v>26</v>
      </c>
      <c r="L10" s="23"/>
      <c r="M10" s="16" t="s">
        <v>23</v>
      </c>
      <c r="N10" s="8" t="str">
        <f t="shared" si="1"/>
        <v>▷ 시윤이는 이번 주간 테스트에서 83점을 받았습니다.
- 독서 : 4/5
- 비문학 : 4/4
- 문학 : 3/5
- 문법 : 3/4
- 어휘 : 11/11
▷ 과 제
- 과제 곳곳에 풀지 않고 빈칸으로 둔 문제들이 보였습니다. 반드시 과제를 꼼꼼하게 할 수 있도록 가정에서 지도 부탁드립니다!
▷ 수 업 : 우수
※ 1월부터 시작된 학기가 어느덧 마지막을 향해 가고 있습니다. 아이들이 과제 수행에는 많이 익숙해졌지만, 최근에는 문제를 꼼꼼하게 확인하기보다 피상적으로 해결하려는 모습이 자주 보이고 있습니다.
날씨가 점점 더워지면서 체력적으로 쉽게 지칠 수 있는 시기이지만, 과제를 수행할 때만큼은 조금 더 집중해서 끝까지 꼼꼼하게 확인하는 습관을 유지할 수 있도록 가정에서도 많은 격려 부탁드립니다.</v>
      </c>
    </row>
    <row r="11" spans="1:14" customFormat="1" x14ac:dyDescent="0.4">
      <c r="C11" s="20"/>
      <c r="K11" s="25"/>
      <c r="L11" s="25"/>
    </row>
    <row r="12" spans="1:14" customFormat="1" x14ac:dyDescent="0.4">
      <c r="C12" s="20"/>
      <c r="K12" s="25"/>
      <c r="L12" s="25"/>
    </row>
    <row r="13" spans="1:14" customFormat="1" x14ac:dyDescent="0.4">
      <c r="C13" s="20"/>
      <c r="K13" s="25"/>
      <c r="L13" s="25"/>
    </row>
    <row r="14" spans="1:14" customFormat="1" x14ac:dyDescent="0.4">
      <c r="C14" s="20"/>
      <c r="K14" s="25"/>
      <c r="L14" s="25"/>
    </row>
    <row r="15" spans="1:14" customFormat="1" x14ac:dyDescent="0.4">
      <c r="C15" s="20"/>
      <c r="K15" s="25"/>
      <c r="L15" s="25"/>
    </row>
    <row r="16" spans="1:14" customFormat="1" x14ac:dyDescent="0.4">
      <c r="C16" s="20"/>
      <c r="K16" s="25"/>
      <c r="L16" s="25"/>
    </row>
    <row r="17" spans="3:12" customFormat="1" x14ac:dyDescent="0.4">
      <c r="C17" s="20"/>
      <c r="K17" s="25"/>
      <c r="L17" s="25"/>
    </row>
    <row r="18" spans="3:12" customFormat="1" x14ac:dyDescent="0.4">
      <c r="C18" s="20"/>
      <c r="K18" s="25"/>
      <c r="L18" s="25"/>
    </row>
    <row r="19" spans="3:12" customFormat="1" x14ac:dyDescent="0.4">
      <c r="C19" s="20"/>
      <c r="K19" s="25"/>
      <c r="L19" s="25"/>
    </row>
    <row r="20" spans="3:12" customFormat="1" x14ac:dyDescent="0.4">
      <c r="C20" s="20"/>
      <c r="K20" s="25"/>
      <c r="L20" s="25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Hong</cp:lastModifiedBy>
  <dcterms:modified xsi:type="dcterms:W3CDTF">2026-06-06T06:40:24Z</dcterms:modified>
</cp:coreProperties>
</file>